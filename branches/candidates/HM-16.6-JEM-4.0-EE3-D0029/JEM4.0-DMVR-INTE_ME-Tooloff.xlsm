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5215" windowHeight="12060" tabRatio="884" activeTab="2"/>
  </bookViews>
  <sheets>
    <sheet name="Summary" sheetId="9" r:id="rId1"/>
    <sheet name="Plot" sheetId="10" r:id="rId2"/>
    <sheet name="RA-10" sheetId="20" r:id="rId3"/>
    <sheet name="Ref" sheetId="17" r:id="rId4"/>
    <sheet name="Test" sheetId="18" r:id="rId5"/>
    <sheet name="Ref-2" sheetId="19" r:id="rId6"/>
  </sheets>
  <definedNames>
    <definedName name="_xlnm._FilterDatabase" localSheetId="1" hidden="1">Plot!$A$1:$B$2</definedName>
  </definedNames>
  <calcPr calcId="125725" concurrentCalc="0"/>
</workbook>
</file>

<file path=xl/calcChain.xml><?xml version="1.0" encoding="utf-8"?>
<calcChain xmlns="http://schemas.openxmlformats.org/spreadsheetml/2006/main">
  <c r="C15" i="9"/>
  <c r="J34" i="20"/>
  <c r="J29"/>
  <c r="J16"/>
  <c r="J7"/>
  <c r="S31"/>
  <c r="T31"/>
  <c r="AB27" i="10"/>
  <c r="AB28"/>
  <c r="AB29"/>
  <c r="AB30"/>
  <c r="B42" i="9"/>
  <c r="B30"/>
  <c r="B18"/>
  <c r="AR120" i="20"/>
  <c r="AQ120"/>
  <c r="AP120"/>
  <c r="AO120"/>
  <c r="AN120"/>
  <c r="AM120"/>
  <c r="AK120"/>
  <c r="AJ120"/>
  <c r="AI120"/>
  <c r="AH120"/>
  <c r="AA120"/>
  <c r="Z120"/>
  <c r="Y120"/>
  <c r="X120"/>
  <c r="W120"/>
  <c r="V120"/>
  <c r="T120"/>
  <c r="S120"/>
  <c r="R120"/>
  <c r="Q120"/>
  <c r="J120"/>
  <c r="I120"/>
  <c r="H15" i="9"/>
  <c r="H39"/>
  <c r="C39"/>
  <c r="H27"/>
  <c r="C27"/>
  <c r="H3"/>
  <c r="C3"/>
  <c r="B48"/>
  <c r="B43"/>
  <c r="B44"/>
  <c r="B45"/>
  <c r="B46"/>
  <c r="B41"/>
  <c r="B17"/>
  <c r="B19"/>
  <c r="B20"/>
  <c r="B21"/>
  <c r="B22"/>
  <c r="B24"/>
  <c r="B31"/>
  <c r="B32"/>
  <c r="B33"/>
  <c r="B34"/>
  <c r="B36"/>
  <c r="B29"/>
  <c r="AC3" i="10"/>
  <c r="AC4"/>
  <c r="AC5"/>
  <c r="AC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4"/>
  <c r="AB5"/>
  <c r="AB6"/>
  <c r="C74" i="20"/>
  <c r="C73"/>
  <c r="C72"/>
  <c r="C71"/>
  <c r="AD8" i="10"/>
  <c r="X23" i="20"/>
  <c r="Y27"/>
  <c r="X103"/>
  <c r="AA19"/>
  <c r="Z19"/>
  <c r="AA51"/>
  <c r="AA15"/>
  <c r="AA39"/>
  <c r="AA31"/>
  <c r="X83"/>
  <c r="AA67"/>
  <c r="W71"/>
  <c r="Y55"/>
  <c r="AA7"/>
  <c r="X55"/>
  <c r="W63"/>
  <c r="Z31"/>
  <c r="X99"/>
  <c r="AA111"/>
  <c r="V7"/>
  <c r="X111"/>
  <c r="W35"/>
  <c r="W27"/>
  <c r="X35"/>
  <c r="Y43"/>
  <c r="V51"/>
  <c r="V15"/>
  <c r="V35"/>
  <c r="W99"/>
  <c r="AN27"/>
  <c r="AR71"/>
  <c r="AO23"/>
  <c r="AP59"/>
  <c r="AM79"/>
  <c r="AM7"/>
  <c r="Z59"/>
  <c r="Y35"/>
  <c r="Z103"/>
  <c r="Y39"/>
  <c r="Z23"/>
  <c r="W59"/>
  <c r="W39"/>
  <c r="AA59"/>
  <c r="W83"/>
  <c r="Y23"/>
  <c r="Y19"/>
  <c r="X15"/>
  <c r="Z75"/>
  <c r="V27"/>
  <c r="Y3"/>
  <c r="W55"/>
  <c r="Z67"/>
  <c r="Z47"/>
  <c r="X39"/>
  <c r="Y59"/>
  <c r="W51"/>
  <c r="X71"/>
  <c r="W107"/>
  <c r="Y111"/>
  <c r="AA75"/>
  <c r="X7"/>
  <c r="X63"/>
  <c r="X43"/>
  <c r="V59"/>
  <c r="AA27"/>
  <c r="W11"/>
  <c r="Y107"/>
  <c r="AN59"/>
  <c r="AR63"/>
  <c r="AR27"/>
  <c r="AM103"/>
  <c r="AN103"/>
  <c r="AP71"/>
  <c r="AA43"/>
  <c r="V47"/>
  <c r="Y63"/>
  <c r="Y67"/>
  <c r="W31"/>
  <c r="Y15"/>
  <c r="V107"/>
  <c r="Z7"/>
  <c r="V103"/>
  <c r="AA63"/>
  <c r="AA99"/>
  <c r="Z107"/>
  <c r="Z39"/>
  <c r="Z43"/>
  <c r="V111"/>
  <c r="W47"/>
  <c r="V83"/>
  <c r="AA107"/>
  <c r="Z63"/>
  <c r="X11"/>
  <c r="V23"/>
  <c r="X107"/>
  <c r="Z111"/>
  <c r="AA11"/>
  <c r="AA23"/>
  <c r="X51"/>
  <c r="X59"/>
  <c r="V63"/>
  <c r="AQ99"/>
  <c r="AP83"/>
  <c r="AR67"/>
  <c r="V67"/>
  <c r="X47"/>
  <c r="W79"/>
  <c r="V55"/>
  <c r="V11"/>
  <c r="AP31"/>
  <c r="Z15"/>
  <c r="W75"/>
  <c r="X67"/>
  <c r="AO3"/>
  <c r="AM55"/>
  <c r="AM11"/>
  <c r="AP79"/>
  <c r="AQ55"/>
  <c r="AN79"/>
  <c r="W23"/>
  <c r="AR111"/>
  <c r="AN51"/>
  <c r="AN31"/>
  <c r="AQ83"/>
  <c r="AP103"/>
  <c r="AN19"/>
  <c r="AN39"/>
  <c r="AO27"/>
  <c r="AO63"/>
  <c r="AN23"/>
  <c r="Z35"/>
  <c r="Y11"/>
  <c r="X79"/>
  <c r="Y99"/>
  <c r="AN47"/>
  <c r="AM71"/>
  <c r="AO19"/>
  <c r="AO67"/>
  <c r="AO107"/>
  <c r="AQ111"/>
  <c r="Z79"/>
  <c r="AA79"/>
  <c r="V31"/>
  <c r="AA3"/>
  <c r="X31"/>
  <c r="V75"/>
  <c r="Z51"/>
  <c r="AR59"/>
  <c r="Y103"/>
  <c r="Z3"/>
  <c r="AQ3"/>
  <c r="AP67"/>
  <c r="AM63"/>
  <c r="AP15"/>
  <c r="AR23"/>
  <c r="AO55"/>
  <c r="AQ19"/>
  <c r="AM31"/>
  <c r="AN71"/>
  <c r="AQ71"/>
  <c r="AR3"/>
  <c r="AP107"/>
  <c r="W111"/>
  <c r="W103"/>
  <c r="AQ15"/>
  <c r="AP11"/>
  <c r="AP23"/>
  <c r="AQ67"/>
  <c r="AM75"/>
  <c r="Y7"/>
  <c r="X3"/>
  <c r="W7"/>
  <c r="Y71"/>
  <c r="AA47"/>
  <c r="Y79"/>
  <c r="Z55"/>
  <c r="Y51"/>
  <c r="X75"/>
  <c r="AR99"/>
  <c r="AM27"/>
  <c r="V3"/>
  <c r="AP7"/>
  <c r="AN11"/>
  <c r="AR51"/>
  <c r="AM51"/>
  <c r="AM23"/>
  <c r="AQ75"/>
  <c r="AP55"/>
  <c r="AQ39"/>
  <c r="Y31"/>
  <c r="Z83"/>
  <c r="V79"/>
  <c r="AP111"/>
  <c r="AO59"/>
  <c r="AQ27"/>
  <c r="AM107"/>
  <c r="AQ31"/>
  <c r="AO35"/>
  <c r="AR43"/>
  <c r="W15"/>
  <c r="AP27"/>
  <c r="AP43"/>
  <c r="AQ103"/>
  <c r="AM19"/>
  <c r="Z11"/>
  <c r="Y47"/>
  <c r="V71"/>
  <c r="AR39"/>
  <c r="AQ51"/>
  <c r="AN15"/>
  <c r="Z99"/>
  <c r="W67"/>
  <c r="W43"/>
  <c r="AM15"/>
  <c r="AM67"/>
  <c r="AP19"/>
  <c r="AP99"/>
  <c r="AN67"/>
  <c r="AQ47"/>
  <c r="AR15"/>
  <c r="AN111"/>
  <c r="AN55"/>
  <c r="AQ11"/>
  <c r="AR83"/>
  <c r="AN75"/>
  <c r="Y83"/>
  <c r="AR103"/>
  <c r="AO11"/>
  <c r="AQ23"/>
  <c r="V99"/>
  <c r="AO31"/>
  <c r="W19"/>
  <c r="AO103"/>
  <c r="AQ59"/>
  <c r="AO43"/>
  <c r="AN7"/>
  <c r="AN107"/>
  <c r="AR75"/>
  <c r="AP39"/>
  <c r="AQ35"/>
  <c r="AR55"/>
  <c r="AN35"/>
  <c r="AA103"/>
  <c r="X27"/>
  <c r="X19"/>
  <c r="V19"/>
  <c r="AP3"/>
  <c r="AQ79"/>
  <c r="AR47"/>
  <c r="V43"/>
  <c r="AP47"/>
  <c r="AO71"/>
  <c r="AN3"/>
  <c r="AP63"/>
  <c r="AN43"/>
  <c r="AR79"/>
  <c r="AN63"/>
  <c r="AP51"/>
  <c r="AO7"/>
  <c r="W3"/>
  <c r="AO83"/>
  <c r="AQ43"/>
  <c r="AR107"/>
  <c r="AQ63"/>
  <c r="AR19"/>
  <c r="AR11"/>
  <c r="Z27"/>
  <c r="AM43"/>
  <c r="AR7"/>
  <c r="AO39"/>
  <c r="AM99"/>
  <c r="AN83"/>
  <c r="AA83"/>
  <c r="AA71"/>
  <c r="V39"/>
  <c r="AP35"/>
  <c r="Z71"/>
  <c r="AO111"/>
  <c r="AM35"/>
  <c r="AR31"/>
  <c r="AM59"/>
  <c r="AO75"/>
  <c r="AQ107"/>
  <c r="AO51"/>
  <c r="AP75"/>
  <c r="AM47"/>
  <c r="AM83"/>
  <c r="AN99"/>
  <c r="AM39"/>
  <c r="Y75"/>
  <c r="AO99"/>
  <c r="AR35"/>
  <c r="AO47"/>
  <c r="AA35"/>
  <c r="AM111"/>
  <c r="AM3"/>
  <c r="AO15"/>
  <c r="AA55"/>
  <c r="AO79"/>
  <c r="AQ7"/>
  <c r="AK3" i="10"/>
  <c r="AG4"/>
  <c r="AL5"/>
  <c r="AD3"/>
  <c r="AL3"/>
  <c r="AL6"/>
  <c r="AJ6"/>
  <c r="AI5"/>
  <c r="AK6"/>
  <c r="AF5"/>
  <c r="AD6"/>
  <c r="AG3"/>
  <c r="AP5"/>
  <c r="AI6"/>
  <c r="AP6"/>
  <c r="AJ5"/>
  <c r="AQ6"/>
  <c r="AO5"/>
  <c r="AL4"/>
  <c r="AK5"/>
  <c r="AP3"/>
  <c r="AF4"/>
  <c r="AN4"/>
  <c r="AO4"/>
  <c r="AK4"/>
  <c r="AG5"/>
  <c r="AG6"/>
  <c r="AO3"/>
  <c r="AD5"/>
  <c r="AQ4"/>
  <c r="AJ4"/>
  <c r="AQ5"/>
  <c r="AN3"/>
  <c r="AI4"/>
  <c r="AN5"/>
  <c r="AE4"/>
  <c r="AE5"/>
  <c r="AN6"/>
  <c r="AO6"/>
  <c r="AE3"/>
  <c r="AP4"/>
  <c r="AJ3"/>
  <c r="AF3"/>
  <c r="AF6"/>
  <c r="AQ3"/>
  <c r="AI3"/>
  <c r="AE6"/>
  <c r="AD4"/>
  <c r="AK100" i="20"/>
  <c r="AH121"/>
  <c r="AK29"/>
  <c r="AJ16"/>
  <c r="AH119"/>
  <c r="AH117"/>
  <c r="AI119"/>
  <c r="AK7"/>
  <c r="AJ33"/>
  <c r="AJ31"/>
  <c r="AJ13"/>
  <c r="AK113"/>
  <c r="AK109"/>
  <c r="AK105"/>
  <c r="AK79"/>
  <c r="AK75"/>
  <c r="AK67"/>
  <c r="AK65"/>
  <c r="AK63"/>
  <c r="AK59"/>
  <c r="AK57"/>
  <c r="AK55"/>
  <c r="AK51"/>
  <c r="AK49"/>
  <c r="AK47"/>
  <c r="AK43"/>
  <c r="AK35"/>
  <c r="AK15"/>
  <c r="AI115"/>
  <c r="AK28"/>
  <c r="AK16"/>
  <c r="AK12"/>
  <c r="AJ109"/>
  <c r="AJ71"/>
  <c r="T30"/>
  <c r="T4"/>
  <c r="T53"/>
  <c r="AK32"/>
  <c r="T113"/>
  <c r="T109"/>
  <c r="T105"/>
  <c r="T101"/>
  <c r="AK101"/>
  <c r="AK83"/>
  <c r="AK71"/>
  <c r="AK39"/>
  <c r="T83"/>
  <c r="T79"/>
  <c r="T75"/>
  <c r="T71"/>
  <c r="T67"/>
  <c r="T63"/>
  <c r="T59"/>
  <c r="T51"/>
  <c r="T47"/>
  <c r="T43"/>
  <c r="T39"/>
  <c r="T35"/>
  <c r="S15"/>
  <c r="T55"/>
  <c r="S67"/>
  <c r="S55"/>
  <c r="S41"/>
  <c r="S51"/>
  <c r="AK85"/>
  <c r="AK81"/>
  <c r="AK77"/>
  <c r="AK73"/>
  <c r="AK69"/>
  <c r="AK61"/>
  <c r="AK53"/>
  <c r="AK45"/>
  <c r="AK41"/>
  <c r="AK37"/>
  <c r="T111"/>
  <c r="T107"/>
  <c r="T103"/>
  <c r="T99"/>
  <c r="S103"/>
  <c r="S99"/>
  <c r="AK111"/>
  <c r="AK107"/>
  <c r="AK103"/>
  <c r="AK99"/>
  <c r="T85"/>
  <c r="T81"/>
  <c r="T77"/>
  <c r="T73"/>
  <c r="T69"/>
  <c r="T65"/>
  <c r="T61"/>
  <c r="T57"/>
  <c r="T49"/>
  <c r="T45"/>
  <c r="T41"/>
  <c r="T37"/>
  <c r="S85"/>
  <c r="S21"/>
  <c r="AJ67"/>
  <c r="AJ55"/>
  <c r="S65"/>
  <c r="S63"/>
  <c r="S109"/>
  <c r="AJ37"/>
  <c r="AJ41"/>
  <c r="S79"/>
  <c r="S28"/>
  <c r="S8"/>
  <c r="AK13"/>
  <c r="AK9"/>
  <c r="AJ85"/>
  <c r="AJ73"/>
  <c r="T66"/>
  <c r="T32"/>
  <c r="T28"/>
  <c r="T18"/>
  <c r="T16"/>
  <c r="T14"/>
  <c r="T12"/>
  <c r="AK19"/>
  <c r="T33"/>
  <c r="T23"/>
  <c r="T19"/>
  <c r="T17"/>
  <c r="T15"/>
  <c r="T13"/>
  <c r="T11"/>
  <c r="T9"/>
  <c r="T7"/>
  <c r="T5"/>
  <c r="S77"/>
  <c r="S61"/>
  <c r="S45"/>
  <c r="S18"/>
  <c r="S17"/>
  <c r="S69"/>
  <c r="S73"/>
  <c r="S3"/>
  <c r="AJ15"/>
  <c r="AK5"/>
  <c r="AH115"/>
  <c r="AI121"/>
  <c r="AI117"/>
  <c r="AJ22"/>
  <c r="AJ8"/>
  <c r="AJ5"/>
  <c r="AJ83"/>
  <c r="AK11"/>
  <c r="AJ77"/>
  <c r="AI123"/>
  <c r="AH118"/>
  <c r="AH116"/>
  <c r="AH123"/>
  <c r="AI122"/>
  <c r="AI125"/>
  <c r="AI118"/>
  <c r="AI116"/>
  <c r="AH125"/>
  <c r="AH122"/>
  <c r="AK17"/>
  <c r="AJ30"/>
  <c r="AJ28"/>
  <c r="AJ26"/>
  <c r="AJ17"/>
  <c r="AJ51"/>
  <c r="AJ43"/>
  <c r="AK30"/>
  <c r="AK14"/>
  <c r="AJ29"/>
  <c r="AJ9"/>
  <c r="AJ7"/>
  <c r="AJ4"/>
  <c r="AJ113"/>
  <c r="AJ99"/>
  <c r="AJ81"/>
  <c r="AJ39"/>
  <c r="AK112"/>
  <c r="AK108"/>
  <c r="AK106"/>
  <c r="AK102"/>
  <c r="AK84"/>
  <c r="AK82"/>
  <c r="AK76"/>
  <c r="AK66"/>
  <c r="AK64"/>
  <c r="AK62"/>
  <c r="AK58"/>
  <c r="AK56"/>
  <c r="AK54"/>
  <c r="AK50"/>
  <c r="AK48"/>
  <c r="AK46"/>
  <c r="AK40"/>
  <c r="AK38"/>
  <c r="AK36"/>
  <c r="AK33"/>
  <c r="AJ103"/>
  <c r="AJ45"/>
  <c r="AK34"/>
  <c r="AJ20"/>
  <c r="AJ18"/>
  <c r="AJ11"/>
  <c r="AJ6"/>
  <c r="AJ107"/>
  <c r="AJ75"/>
  <c r="AJ69"/>
  <c r="AJ63"/>
  <c r="AJ57"/>
  <c r="AJ49"/>
  <c r="AJ35"/>
  <c r="AJ105"/>
  <c r="AJ101"/>
  <c r="AJ79"/>
  <c r="AJ61"/>
  <c r="AJ47"/>
  <c r="AJ106"/>
  <c r="AJ104"/>
  <c r="AJ102"/>
  <c r="AJ86"/>
  <c r="AJ80"/>
  <c r="AJ76"/>
  <c r="AJ70"/>
  <c r="AJ66"/>
  <c r="AJ50"/>
  <c r="AJ44"/>
  <c r="AJ42"/>
  <c r="AK31"/>
  <c r="AK23"/>
  <c r="AK4"/>
  <c r="AJ21"/>
  <c r="AJ14"/>
  <c r="AJ12"/>
  <c r="AJ10"/>
  <c r="AJ111"/>
  <c r="AJ65"/>
  <c r="AJ59"/>
  <c r="AJ53"/>
  <c r="S83"/>
  <c r="S7"/>
  <c r="S113"/>
  <c r="S105"/>
  <c r="S71"/>
  <c r="S47"/>
  <c r="S30"/>
  <c r="S26"/>
  <c r="S53"/>
  <c r="S49"/>
  <c r="T29"/>
  <c r="I115"/>
  <c r="I117"/>
  <c r="S111"/>
  <c r="S10"/>
  <c r="S5"/>
  <c r="S6"/>
  <c r="S37"/>
  <c r="S57"/>
  <c r="S81"/>
  <c r="S75"/>
  <c r="S59"/>
  <c r="S14"/>
  <c r="S12"/>
  <c r="I119"/>
  <c r="I118"/>
  <c r="S43"/>
  <c r="S9"/>
  <c r="S29"/>
  <c r="S107"/>
  <c r="S22"/>
  <c r="I121"/>
  <c r="S39"/>
  <c r="S16"/>
  <c r="S35"/>
  <c r="S101"/>
  <c r="I122"/>
  <c r="S33"/>
  <c r="I123"/>
  <c r="I116"/>
  <c r="S25"/>
  <c r="T114"/>
  <c r="T100"/>
  <c r="S13"/>
  <c r="S112"/>
  <c r="AJ112"/>
  <c r="AJ82"/>
  <c r="S82"/>
  <c r="AJ74"/>
  <c r="S74"/>
  <c r="AJ64"/>
  <c r="S64"/>
  <c r="S48"/>
  <c r="AJ48"/>
  <c r="S46"/>
  <c r="AJ46"/>
  <c r="AJ38"/>
  <c r="S38"/>
  <c r="AK6"/>
  <c r="T6"/>
  <c r="AJ114"/>
  <c r="S114"/>
  <c r="AJ100"/>
  <c r="S100"/>
  <c r="AJ60"/>
  <c r="S60"/>
  <c r="AJ58"/>
  <c r="S58"/>
  <c r="AJ54"/>
  <c r="S54"/>
  <c r="T10"/>
  <c r="AK10"/>
  <c r="T3"/>
  <c r="AK3"/>
  <c r="Q115"/>
  <c r="AJ34"/>
  <c r="S34"/>
  <c r="AJ24"/>
  <c r="S24"/>
  <c r="T27"/>
  <c r="AK27"/>
  <c r="AK25"/>
  <c r="T25"/>
  <c r="T21"/>
  <c r="AK21"/>
  <c r="AJ23"/>
  <c r="S23"/>
  <c r="AK52"/>
  <c r="T52"/>
  <c r="Q118"/>
  <c r="AK8"/>
  <c r="T8"/>
  <c r="S27"/>
  <c r="AJ27"/>
  <c r="S4"/>
  <c r="S20"/>
  <c r="T38"/>
  <c r="T48"/>
  <c r="AK26"/>
  <c r="T26"/>
  <c r="AK24"/>
  <c r="T24"/>
  <c r="AK22"/>
  <c r="T22"/>
  <c r="AJ19"/>
  <c r="S19"/>
  <c r="I8" i="9"/>
  <c r="I6"/>
  <c r="I7"/>
  <c r="AP119" i="20"/>
  <c r="J9" i="9"/>
  <c r="H7"/>
  <c r="AR115" i="20"/>
  <c r="AR122"/>
  <c r="J48" i="9"/>
  <c r="AP121" i="20"/>
  <c r="AN116"/>
  <c r="I18" i="9"/>
  <c r="H47"/>
  <c r="H43"/>
  <c r="J34"/>
  <c r="AM115" i="20"/>
  <c r="H17" i="9"/>
  <c r="AM122" i="20"/>
  <c r="H23" i="9"/>
  <c r="H10"/>
  <c r="I46"/>
  <c r="J36"/>
  <c r="I34"/>
  <c r="J5"/>
  <c r="J11"/>
  <c r="AO121" i="20"/>
  <c r="J24" i="9"/>
  <c r="H8"/>
  <c r="I11"/>
  <c r="I5"/>
  <c r="AR116" i="20"/>
  <c r="AN119"/>
  <c r="I21" i="9"/>
  <c r="J33"/>
  <c r="H34"/>
  <c r="H46"/>
  <c r="AO118" i="20"/>
  <c r="J20" i="9"/>
  <c r="AO116" i="20"/>
  <c r="J18" i="9"/>
  <c r="J46"/>
  <c r="I9"/>
  <c r="I43"/>
  <c r="I47"/>
  <c r="AM116" i="20"/>
  <c r="H18" i="9"/>
  <c r="AM117" i="20"/>
  <c r="H19" i="9"/>
  <c r="I36"/>
  <c r="I45"/>
  <c r="AQ119" i="20"/>
  <c r="J8" i="9"/>
  <c r="I48"/>
  <c r="AR119" i="20"/>
  <c r="H12" i="9"/>
  <c r="AN121" i="20"/>
  <c r="I24" i="9"/>
  <c r="AM118" i="20"/>
  <c r="H20" i="9"/>
  <c r="I32"/>
  <c r="H36"/>
  <c r="I31"/>
  <c r="I35"/>
  <c r="J35"/>
  <c r="J31"/>
  <c r="I44"/>
  <c r="AR118" i="20"/>
  <c r="J44" i="9"/>
  <c r="H11"/>
  <c r="H5"/>
  <c r="AQ116" i="20"/>
  <c r="H6" i="9"/>
  <c r="AO119" i="20"/>
  <c r="J21" i="9"/>
  <c r="AQ118" i="20"/>
  <c r="J43" i="9"/>
  <c r="J47"/>
  <c r="I12"/>
  <c r="H33"/>
  <c r="J32"/>
  <c r="AP115" i="20"/>
  <c r="AP122"/>
  <c r="J12" i="9"/>
  <c r="J45"/>
  <c r="AN118" i="20"/>
  <c r="I20" i="9"/>
  <c r="AP117" i="20"/>
  <c r="AP116"/>
  <c r="AQ121"/>
  <c r="AP118"/>
  <c r="AQ117"/>
  <c r="AM121"/>
  <c r="H24" i="9"/>
  <c r="J7"/>
  <c r="AN117" i="20"/>
  <c r="I19" i="9"/>
  <c r="H35"/>
  <c r="H31"/>
  <c r="AQ122" i="20"/>
  <c r="AQ115"/>
  <c r="AM119"/>
  <c r="H21" i="9"/>
  <c r="AO122" i="20"/>
  <c r="J23" i="9"/>
  <c r="AO115" i="20"/>
  <c r="J17" i="9"/>
  <c r="H45"/>
  <c r="AR121" i="20"/>
  <c r="H9" i="9"/>
  <c r="J6"/>
  <c r="I10"/>
  <c r="AR117" i="20"/>
  <c r="AO117"/>
  <c r="J19" i="9"/>
  <c r="I33"/>
  <c r="J10"/>
  <c r="AN122" i="20"/>
  <c r="I23" i="9"/>
  <c r="AN115" i="20"/>
  <c r="I17" i="9"/>
  <c r="H32"/>
  <c r="H48"/>
  <c r="H44"/>
  <c r="AK110" i="20"/>
  <c r="T110"/>
  <c r="AK86"/>
  <c r="T86"/>
  <c r="AK80"/>
  <c r="T80"/>
  <c r="AK74"/>
  <c r="T74"/>
  <c r="AK70"/>
  <c r="T70"/>
  <c r="AK68"/>
  <c r="T68"/>
  <c r="AK44"/>
  <c r="T44"/>
  <c r="AK42"/>
  <c r="T42"/>
  <c r="T58"/>
  <c r="T62"/>
  <c r="Q122"/>
  <c r="S108"/>
  <c r="AJ84"/>
  <c r="S84"/>
  <c r="S42"/>
  <c r="S66"/>
  <c r="S86"/>
  <c r="T40"/>
  <c r="T84"/>
  <c r="T76"/>
  <c r="T108"/>
  <c r="T54"/>
  <c r="S44"/>
  <c r="S76"/>
  <c r="T82"/>
  <c r="AK114"/>
  <c r="AK20"/>
  <c r="T20"/>
  <c r="Q116"/>
  <c r="AK104"/>
  <c r="T104"/>
  <c r="Q121"/>
  <c r="AK78"/>
  <c r="T78"/>
  <c r="AK72"/>
  <c r="T72"/>
  <c r="AK60"/>
  <c r="T60"/>
  <c r="Q117"/>
  <c r="T36"/>
  <c r="R115"/>
  <c r="T56"/>
  <c r="T50"/>
  <c r="T102"/>
  <c r="Q119"/>
  <c r="T106"/>
  <c r="AJ3"/>
  <c r="T34"/>
  <c r="AJ110"/>
  <c r="S110"/>
  <c r="AJ78"/>
  <c r="S78"/>
  <c r="S72"/>
  <c r="AJ68"/>
  <c r="S68"/>
  <c r="AJ62"/>
  <c r="S62"/>
  <c r="S56"/>
  <c r="AJ52"/>
  <c r="S52"/>
  <c r="AJ40"/>
  <c r="S40"/>
  <c r="S36"/>
  <c r="S50"/>
  <c r="S70"/>
  <c r="T46"/>
  <c r="S106"/>
  <c r="T112"/>
  <c r="T64"/>
  <c r="S80"/>
  <c r="S102"/>
  <c r="S104"/>
  <c r="S11"/>
  <c r="AK18"/>
  <c r="Q123"/>
  <c r="Q124"/>
  <c r="AJ32"/>
  <c r="S32"/>
  <c r="Z121"/>
  <c r="D43" i="9"/>
  <c r="D47"/>
  <c r="D6"/>
  <c r="D31"/>
  <c r="D35"/>
  <c r="AA118" i="20"/>
  <c r="X117"/>
  <c r="E19" i="9"/>
  <c r="Y117" i="20"/>
  <c r="X121"/>
  <c r="E24" i="9"/>
  <c r="AA122" i="20"/>
  <c r="AA115"/>
  <c r="E35" i="9"/>
  <c r="E31"/>
  <c r="AA116" i="20"/>
  <c r="E6" i="9"/>
  <c r="D8"/>
  <c r="AA121" i="20"/>
  <c r="C10" i="9"/>
  <c r="C31"/>
  <c r="C35"/>
  <c r="C6"/>
  <c r="X116" i="20"/>
  <c r="E18" i="9"/>
  <c r="D45"/>
  <c r="E5"/>
  <c r="E11"/>
  <c r="Z118" i="20"/>
  <c r="E45" i="9"/>
  <c r="E12"/>
  <c r="Z115" i="20"/>
  <c r="Z122"/>
  <c r="C43" i="9"/>
  <c r="C47"/>
  <c r="D12"/>
  <c r="C46"/>
  <c r="D44"/>
  <c r="Z119" i="20"/>
  <c r="AA117"/>
  <c r="W121"/>
  <c r="D24" i="9"/>
  <c r="C32"/>
  <c r="V121" i="20"/>
  <c r="C24" i="9"/>
  <c r="W117" i="20"/>
  <c r="D19" i="9"/>
  <c r="V117" i="20"/>
  <c r="C19" i="9"/>
  <c r="V118" i="20"/>
  <c r="C20" i="9"/>
  <c r="E33"/>
  <c r="D34"/>
  <c r="AA119" i="20"/>
  <c r="D10" i="9"/>
  <c r="E8"/>
  <c r="E7"/>
  <c r="D32"/>
  <c r="X119" i="20"/>
  <c r="E21" i="9"/>
  <c r="C45"/>
  <c r="E9"/>
  <c r="Y119" i="20"/>
  <c r="E46" i="9"/>
  <c r="C5"/>
  <c r="C11"/>
  <c r="D33"/>
  <c r="C7"/>
  <c r="D9"/>
  <c r="E36"/>
  <c r="C34"/>
  <c r="D11"/>
  <c r="D5"/>
  <c r="Y116" i="20"/>
  <c r="V119"/>
  <c r="C21" i="9"/>
  <c r="D48"/>
  <c r="E47"/>
  <c r="E43"/>
  <c r="E34"/>
  <c r="D7"/>
  <c r="W122" i="20"/>
  <c r="D23" i="9"/>
  <c r="W115" i="20"/>
  <c r="D17" i="9"/>
  <c r="E44"/>
  <c r="Y121" i="20"/>
  <c r="C9" i="9"/>
  <c r="X115" i="20"/>
  <c r="E17" i="9"/>
  <c r="X122" i="20"/>
  <c r="E23" i="9"/>
  <c r="W119" i="20"/>
  <c r="D21" i="9"/>
  <c r="D36"/>
  <c r="Z116" i="20"/>
  <c r="W116"/>
  <c r="D18" i="9"/>
  <c r="C12"/>
  <c r="C33"/>
  <c r="Z117" i="20"/>
  <c r="W118"/>
  <c r="D20" i="9"/>
  <c r="C8"/>
  <c r="X118" i="20"/>
  <c r="E20" i="9"/>
  <c r="V122" i="20"/>
  <c r="C23" i="9"/>
  <c r="V115" i="20"/>
  <c r="C17" i="9"/>
  <c r="C48"/>
  <c r="E48"/>
  <c r="E32"/>
  <c r="Y115" i="20"/>
  <c r="Y122"/>
  <c r="Y118"/>
  <c r="D46" i="9"/>
  <c r="C36"/>
  <c r="E10"/>
  <c r="C44"/>
  <c r="V116" i="20"/>
  <c r="C18" i="9"/>
  <c r="AG13" i="10"/>
  <c r="AG16"/>
  <c r="AG12"/>
  <c r="AG15"/>
  <c r="AF13"/>
  <c r="AF16"/>
  <c r="AF12"/>
  <c r="AF15"/>
  <c r="AE12"/>
  <c r="AE15"/>
  <c r="AE13"/>
  <c r="AE16"/>
  <c r="AD12"/>
  <c r="AD15"/>
  <c r="AD13"/>
  <c r="AD16"/>
  <c r="J116" i="20"/>
  <c r="J118"/>
  <c r="J119"/>
  <c r="J117"/>
  <c r="L9" i="9"/>
  <c r="L6"/>
  <c r="L5"/>
  <c r="L45"/>
  <c r="AK118" i="20"/>
  <c r="L20" i="9"/>
  <c r="L11"/>
  <c r="AK117" i="20"/>
  <c r="L19" i="9"/>
  <c r="K6"/>
  <c r="L44"/>
  <c r="L33"/>
  <c r="L34"/>
  <c r="AK119" i="20"/>
  <c r="L21" i="9"/>
  <c r="AK116" i="20"/>
  <c r="L18" i="9"/>
  <c r="L31"/>
  <c r="L46"/>
  <c r="AK121" i="20"/>
  <c r="L24" i="9"/>
  <c r="L32"/>
  <c r="L48"/>
  <c r="K9"/>
  <c r="L36"/>
  <c r="L47"/>
  <c r="L10"/>
  <c r="K12"/>
  <c r="K8"/>
  <c r="L35"/>
  <c r="L12"/>
  <c r="L8"/>
  <c r="L7"/>
  <c r="L43"/>
  <c r="K46"/>
  <c r="K36"/>
  <c r="J115" i="20"/>
  <c r="F7" i="9"/>
  <c r="F46"/>
  <c r="J123" i="20"/>
  <c r="G12" i="9"/>
  <c r="G33"/>
  <c r="J121" i="20"/>
  <c r="S115"/>
  <c r="F17" i="9"/>
  <c r="G31"/>
  <c r="T116" i="20"/>
  <c r="G18" i="9"/>
  <c r="F9"/>
  <c r="G9"/>
  <c r="T115" i="20"/>
  <c r="G17" i="9"/>
  <c r="F12"/>
  <c r="G5"/>
  <c r="F45"/>
  <c r="J122" i="20"/>
  <c r="G32" i="9"/>
  <c r="T117" i="20"/>
  <c r="G19" i="9"/>
  <c r="AK122" i="20"/>
  <c r="L23" i="9"/>
  <c r="AK115" i="20"/>
  <c r="L17" i="9"/>
  <c r="G6"/>
  <c r="F44"/>
  <c r="S121" i="20"/>
  <c r="F24" i="9"/>
  <c r="F43"/>
  <c r="F32"/>
  <c r="F33"/>
  <c r="T122" i="20"/>
  <c r="G23" i="9"/>
  <c r="G8"/>
  <c r="F8"/>
  <c r="G7"/>
  <c r="F6"/>
  <c r="F34"/>
  <c r="S117" i="20"/>
  <c r="F19" i="9"/>
  <c r="S119" i="20"/>
  <c r="F21" i="9"/>
  <c r="G36"/>
  <c r="T119" i="20"/>
  <c r="G21" i="9"/>
  <c r="G45"/>
  <c r="F47"/>
  <c r="G48"/>
  <c r="F5"/>
  <c r="G46"/>
  <c r="S116" i="20"/>
  <c r="F18" i="9"/>
  <c r="F10"/>
  <c r="G34"/>
  <c r="G47"/>
  <c r="T121" i="20"/>
  <c r="G24" i="9"/>
  <c r="G44"/>
  <c r="S122" i="20"/>
  <c r="F23" i="9"/>
  <c r="F35"/>
  <c r="S118" i="20"/>
  <c r="F20" i="9"/>
  <c r="G10"/>
  <c r="K45"/>
  <c r="G43"/>
  <c r="K10"/>
  <c r="K34"/>
  <c r="K44"/>
  <c r="AJ25" i="20"/>
  <c r="AJ116"/>
  <c r="K18" i="9"/>
  <c r="R122" i="20"/>
  <c r="F31" i="9"/>
  <c r="F36"/>
  <c r="K43"/>
  <c r="K48"/>
  <c r="T118" i="20"/>
  <c r="G20" i="9"/>
  <c r="R116" i="20"/>
  <c r="R123"/>
  <c r="R124"/>
  <c r="AJ56"/>
  <c r="AJ118"/>
  <c r="K20" i="9"/>
  <c r="R118" i="20"/>
  <c r="AJ115"/>
  <c r="K17" i="9"/>
  <c r="AJ108" i="20"/>
  <c r="AJ121"/>
  <c r="K24" i="9"/>
  <c r="R121" i="20"/>
  <c r="AJ36"/>
  <c r="AJ117"/>
  <c r="K19" i="9"/>
  <c r="R117" i="20"/>
  <c r="AJ72"/>
  <c r="AJ119"/>
  <c r="K21" i="9"/>
  <c r="R119" i="20"/>
  <c r="K7" i="9"/>
  <c r="G35"/>
  <c r="F48"/>
  <c r="K32"/>
  <c r="K33"/>
  <c r="G11"/>
  <c r="F11"/>
  <c r="AJ122" i="20"/>
  <c r="K23" i="9"/>
  <c r="K11"/>
  <c r="K5"/>
  <c r="K35"/>
  <c r="K31"/>
  <c r="K47"/>
</calcChain>
</file>

<file path=xl/sharedStrings.xml><?xml version="1.0" encoding="utf-8"?>
<sst xmlns="http://schemas.openxmlformats.org/spreadsheetml/2006/main" count="1580" uniqueCount="1443">
  <si>
    <t>QPISlice</t>
  </si>
  <si>
    <t>Class B</t>
  </si>
  <si>
    <t>Kimono</t>
  </si>
  <si>
    <t>ParkScene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</si>
  <si>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</si>
  <si>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</si>
  <si>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</si>
  <si>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</si>
  <si>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</si>
  <si>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</si>
  <si>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</si>
  <si>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</si>
  <si>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</si>
  <si>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</si>
  <si>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</si>
  <si>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</si>
  <si>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</si>
  <si>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</si>
  <si>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</si>
  <si>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</si>
  <si>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</si>
  <si>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</si>
  <si>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</si>
  <si>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</si>
  <si>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</si>
  <si>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</si>
  <si>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</si>
  <si>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</si>
  <si>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</si>
  <si>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</si>
  <si>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</si>
  <si>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</si>
  <si>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</si>
  <si>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</si>
  <si>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</si>
  <si>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</si>
  <si>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</si>
  <si>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</si>
  <si>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2nd-Referece:</t>
  </si>
  <si>
    <t>Reference-2</t>
  </si>
  <si>
    <t>Overall (Ref)</t>
  </si>
  <si>
    <t>Line 3 - Reference2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</si>
  <si>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</si>
  <si>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</si>
  <si>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</si>
  <si>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</si>
  <si>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</si>
  <si>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</si>
  <si>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</si>
  <si>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</si>
  <si>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Random Access Main 10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</si>
  <si>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</si>
  <si>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</si>
  <si>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</si>
  <si>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</si>
  <si>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</si>
  <si>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</si>
  <si>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</si>
  <si>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</si>
  <si>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</si>
  <si>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</si>
  <si>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</si>
  <si>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</si>
  <si>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</si>
  <si>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</si>
  <si>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</si>
  <si>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</si>
  <si>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</si>
  <si>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</si>
  <si>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</si>
  <si>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</si>
  <si>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</si>
  <si>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</si>
  <si>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</si>
  <si>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</si>
  <si>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F (optional)</t>
  </si>
  <si>
    <t>Class A1</t>
  </si>
  <si>
    <t>Class A2</t>
  </si>
  <si>
    <t>Tango</t>
  </si>
  <si>
    <t>Drums100</t>
  </si>
  <si>
    <t>CampfireParty</t>
  </si>
  <si>
    <t>ToddlerFountain</t>
  </si>
  <si>
    <t>CatRobot</t>
  </si>
  <si>
    <t>TrafficFlow</t>
  </si>
  <si>
    <t>DaylightRoad</t>
  </si>
  <si>
    <t>Rollercoaster (offset)</t>
  </si>
  <si>
    <t>AI-10</t>
  </si>
  <si>
    <t>RA-10</t>
  </si>
  <si>
    <t>LDB-10</t>
  </si>
  <si>
    <t>LDP-10</t>
  </si>
  <si>
    <t>KTADev_lowdelay_P_jvet10_SEIDecodedPictureHash=1_SEIDecodedPictureHash=1_SEIDecodedPictureHash=1_dummy_ClassF_S04_q0_27_F500_T1</t>
  </si>
  <si>
    <t>KTADev_lowdelay_P_jvet10_SEIDecodedPictureHash=1_SEIDecodedPictureHash=1_SEIDecodedPictureHash=1_dummy_ClassF_S04_q0_32_F500_T1</t>
  </si>
  <si>
    <t>KTADev_lowdelay_P_jvet10_SEIDecodedPictureHash=1_SEIDecodedPictureHash=1_SEIDecodedPictureHash=1_dummy_ClassF_S04_q0_37_F500_T1</t>
  </si>
  <si>
    <t>KTADev_intra_jvet10_SEIDecodedPictureHash=1_SEIDecodedPictureHash=1_SEIDecodedPictureHash=1_qtbt-test3_ClassA1_S01_q0_22_F294_T8</t>
  </si>
  <si>
    <t>KTADev_intra_jvet10_SEIDecodedPictureHash=1_SEIDecodedPictureHash=1_SEIDecodedPictureHash=1_qtbt-test3_ClassA1_S01_q0_27_F294_T8</t>
  </si>
  <si>
    <t>KTADev_intra_jvet10_SEIDecodedPictureHash=1_SEIDecodedPictureHash=1_SEIDecodedPictureHash=1_qtbt-test3_ClassA1_S01_q0_32_F294_T8</t>
  </si>
  <si>
    <t>KTADev_intra_jvet10_SEIDecodedPictureHash=1_SEIDecodedPictureHash=1_SEIDecodedPictureHash=1_qtbt-test3_ClassA1_S01_q0_37_F294_T8</t>
  </si>
  <si>
    <t>KTADev_intra_jvet10_SEIDecodedPictureHash=1_SEIDecodedPictureHash=1_SEIDecodedPictureHash=1_qtbt-test3_ClassA1_S02_q0_22_F300_T8</t>
  </si>
  <si>
    <t>KTADev_intra_jvet10_SEIDecodedPictureHash=1_SEIDecodedPictureHash=1_SEIDecodedPictureHash=1_qtbt-test3_ClassA1_S02_q0_27_F300_T8</t>
  </si>
  <si>
    <t>KTADev_intra_jvet10_SEIDecodedPictureHash=1_SEIDecodedPictureHash=1_SEIDecodedPictureHash=1_qtbt-test3_ClassA1_S02_q0_32_F300_T8</t>
  </si>
  <si>
    <t>KTADev_intra_jvet10_SEIDecodedPictureHash=1_SEIDecodedPictureHash=1_SEIDecodedPictureHash=1_qtbt-test3_ClassA1_S02_q0_37_F300_T8</t>
  </si>
  <si>
    <t>KTADev_intra_jvet10_SEIDecodedPictureHash=1_SEIDecodedPictureHash=1_SEIDecodedPictureHash=1_qtbt-test3_ClassA1_S03_q0_22_F300_T8</t>
  </si>
  <si>
    <t>KTADev_intra_jvet10_SEIDecodedPictureHash=1_SEIDecodedPictureHash=1_SEIDecodedPictureHash=1_qtbt-test3_ClassA1_S03_q0_27_F300_T8</t>
  </si>
  <si>
    <t>KTADev_intra_jvet10_SEIDecodedPictureHash=1_SEIDecodedPictureHash=1_SEIDecodedPictureHash=1_qtbt-test3_ClassA1_S03_q0_32_F300_T8</t>
  </si>
  <si>
    <t>KTADev_intra_jvet10_SEIDecodedPictureHash=1_SEIDecodedPictureHash=1_SEIDecodedPictureHash=1_qtbt-test3_ClassA1_S03_q0_37_F300_T8</t>
  </si>
  <si>
    <t>KTADev_intra_jvet10_SEIDecodedPictureHash=1_SEIDecodedPictureHash=1_SEIDecodedPictureHash=1_qtbt-test3_ClassA1_S04_q0_22_F300_T8</t>
  </si>
  <si>
    <t>KTADev_intra_jvet10_SEIDecodedPictureHash=1_SEIDecodedPictureHash=1_SEIDecodedPictureHash=1_qtbt-test3_ClassA1_S04_q0_27_F300_T8</t>
  </si>
  <si>
    <t>KTADev_intra_jvet10_SEIDecodedPictureHash=1_SEIDecodedPictureHash=1_SEIDecodedPictureHash=1_qtbt-test3_ClassA1_S04_q0_32_F300_T8</t>
  </si>
  <si>
    <t>KTADev_intra_jvet10_SEIDecodedPictureHash=1_SEIDecodedPictureHash=1_SEIDecodedPictureHash=1_qtbt-test3_ClassA1_S04_q0_37_F300_T8</t>
  </si>
  <si>
    <t>KTADev_intra_jvet10_SEIDecodedPictureHash=1_SEIDecodedPictureHash=1_SEIDecodedPictureHash=1_qtbt-test3_ClassA2_S01_q0_22_F300_T8</t>
  </si>
  <si>
    <t>KTADev_intra_jvet10_SEIDecodedPictureHash=1_SEIDecodedPictureHash=1_SEIDecodedPictureHash=1_qtbt-test3_ClassA2_S01_q0_27_F300_T8</t>
  </si>
  <si>
    <t>KTADev_intra_jvet10_SEIDecodedPictureHash=1_SEIDecodedPictureHash=1_SEIDecodedPictureHash=1_qtbt-test3_ClassA2_S01_q0_32_F300_T8</t>
  </si>
  <si>
    <t>KTADev_intra_jvet10_SEIDecodedPictureHash=1_SEIDecodedPictureHash=1_SEIDecodedPictureHash=1_qtbt-test3_ClassA2_S01_q0_37_F300_T8</t>
  </si>
  <si>
    <t>KTADev_intra_jvet10_SEIDecodedPictureHash=1_SEIDecodedPictureHash=1_SEIDecodedPictureHash=1_qtbt-test3_ClassA2_S02_q0_22_F300_T8</t>
  </si>
  <si>
    <t>KTADev_intra_jvet10_SEIDecodedPictureHash=1_SEIDecodedPictureHash=1_SEIDecodedPictureHash=1_qtbt-test3_ClassA2_S02_q0_27_F300_T8</t>
  </si>
  <si>
    <t>KTADev_intra_jvet10_SEIDecodedPictureHash=1_SEIDecodedPictureHash=1_SEIDecodedPictureHash=1_qtbt-test3_ClassA2_S02_q0_32_F300_T8</t>
  </si>
  <si>
    <t>KTADev_intra_jvet10_SEIDecodedPictureHash=1_SEIDecodedPictureHash=1_SEIDecodedPictureHash=1_qtbt-test3_ClassA2_S02_q0_37_F300_T8</t>
  </si>
  <si>
    <t>KTADev_intra_jvet10_SEIDecodedPictureHash=1_SEIDecodedPictureHash=1_SEIDecodedPictureHash=1_qtbt-test3_ClassA2_S03_q0_22_F300_T8</t>
  </si>
  <si>
    <t>KTADev_intra_jvet10_SEIDecodedPictureHash=1_SEIDecodedPictureHash=1_SEIDecodedPictureHash=1_qtbt-test3_ClassA2_S03_q0_27_F300_T8</t>
  </si>
  <si>
    <t>KTADev_intra_jvet10_SEIDecodedPictureHash=1_SEIDecodedPictureHash=1_SEIDecodedPictureHash=1_qtbt-test3_ClassA2_S03_q0_32_F300_T8</t>
  </si>
  <si>
    <t>KTADev_intra_jvet10_SEIDecodedPictureHash=1_SEIDecodedPictureHash=1_SEIDecodedPictureHash=1_qtbt-test3_ClassA2_S03_q0_37_F300_T8</t>
  </si>
  <si>
    <t>KTADev_intra_jvet10_SEIDecodedPictureHash=1_SEIDecodedPictureHash=1_SEIDecodedPictureHash=1_qtbt-test3_ClassA2_S04_q0_22_F300_T8</t>
  </si>
  <si>
    <t>KTADev_intra_jvet10_SEIDecodedPictureHash=1_SEIDecodedPictureHash=1_SEIDecodedPictureHash=1_qtbt-test3_ClassA2_S04_q0_27_F300_T8</t>
  </si>
  <si>
    <t>KTADev_intra_jvet10_SEIDecodedPictureHash=1_SEIDecodedPictureHash=1_SEIDecodedPictureHash=1_qtbt-test3_ClassA2_S04_q0_32_F300_T8</t>
  </si>
  <si>
    <t>KTADev_intra_jvet10_SEIDecodedPictureHash=1_SEIDecodedPictureHash=1_SEIDecodedPictureHash=1_qtbt-test3_ClassA2_S04_q0_37_F300_T8</t>
  </si>
  <si>
    <t>KTADev_intra_jvet10_SEIDecodedPictureHash=1_SEIDecodedPictureHash=1_SEIDecodedPictureHash=1_qtbt-test3_ClassB_S01_q0_22_F240_T8</t>
  </si>
  <si>
    <t>KTADev_intra_jvet10_SEIDecodedPictureHash=1_SEIDecodedPictureHash=1_SEIDecodedPictureHash=1_qtbt-test3_ClassB_S01_q0_27_F240_T8</t>
  </si>
  <si>
    <t>KTADev_intra_jvet10_SEIDecodedPictureHash=1_SEIDecodedPictureHash=1_SEIDecodedPictureHash=1_qtbt-test3_ClassB_S01_q0_32_F240_T8</t>
  </si>
  <si>
    <t>KTADev_intra_jvet10_SEIDecodedPictureHash=1_SEIDecodedPictureHash=1_SEIDecodedPictureHash=1_qtbt-test3_ClassB_S01_q0_37_F240_T8</t>
  </si>
  <si>
    <t>KTADev_intra_jvet10_SEIDecodedPictureHash=1_SEIDecodedPictureHash=1_SEIDecodedPictureHash=1_qtbt-test3_ClassB_S02_q0_22_F240_T8</t>
  </si>
  <si>
    <t>KTADev_intra_jvet10_SEIDecodedPictureHash=1_SEIDecodedPictureHash=1_SEIDecodedPictureHash=1_qtbt-test3_ClassB_S02_q0_27_F240_T8</t>
  </si>
  <si>
    <t>KTADev_intra_jvet10_SEIDecodedPictureHash=1_SEIDecodedPictureHash=1_SEIDecodedPictureHash=1_qtbt-test3_ClassB_S02_q0_32_F240_T8</t>
  </si>
  <si>
    <t>KTADev_intra_jvet10_SEIDecodedPictureHash=1_SEIDecodedPictureHash=1_SEIDecodedPictureHash=1_qtbt-test3_ClassB_S02_q0_37_F240_T8</t>
  </si>
  <si>
    <t>KTADev_intra_jvet10_SEIDecodedPictureHash=1_SEIDecodedPictureHash=1_SEIDecodedPictureHash=1_qtbt-test3_ClassB_S03_q0_22_F500_T8</t>
  </si>
  <si>
    <t>KTADev_intra_jvet10_SEIDecodedPictureHash=1_SEIDecodedPictureHash=1_SEIDecodedPictureHash=1_qtbt-test3_ClassB_S03_q0_27_F500_T8</t>
  </si>
  <si>
    <t>KTADev_intra_jvet10_SEIDecodedPictureHash=1_SEIDecodedPictureHash=1_SEIDecodedPictureHash=1_qtbt-test3_ClassB_S03_q0_32_F500_T8</t>
  </si>
  <si>
    <t>KTADev_intra_jvet10_SEIDecodedPictureHash=1_SEIDecodedPictureHash=1_SEIDecodedPictureHash=1_qtbt-test3_ClassB_S03_q0_37_F500_T8</t>
  </si>
  <si>
    <t>KTADev_intra_jvet10_SEIDecodedPictureHash=1_SEIDecodedPictureHash=1_SEIDecodedPictureHash=1_qtbt-test3_ClassB_S04_q0_22_F500_T8</t>
  </si>
  <si>
    <t>KTADev_intra_jvet10_SEIDecodedPictureHash=1_SEIDecodedPictureHash=1_SEIDecodedPictureHash=1_qtbt-test3_ClassB_S04_q0_27_F500_T8</t>
  </si>
  <si>
    <t>KTADev_intra_jvet10_SEIDecodedPictureHash=1_SEIDecodedPictureHash=1_SEIDecodedPictureHash=1_qtbt-test3_ClassB_S04_q0_32_F500_T8</t>
  </si>
  <si>
    <t>KTADev_intra_jvet10_SEIDecodedPictureHash=1_SEIDecodedPictureHash=1_SEIDecodedPictureHash=1_qtbt-test3_ClassB_S04_q0_37_F500_T8</t>
  </si>
  <si>
    <t>KTADev_intra_jvet10_SEIDecodedPictureHash=1_SEIDecodedPictureHash=1_SEIDecodedPictureHash=1_qtbt-test3_ClassB_S05_q0_22_F600_T8</t>
  </si>
  <si>
    <t>KTADev_intra_jvet10_SEIDecodedPictureHash=1_SEIDecodedPictureHash=1_SEIDecodedPictureHash=1_qtbt-test3_ClassB_S05_q0_27_F600_T8</t>
  </si>
  <si>
    <t>KTADev_intra_jvet10_SEIDecodedPictureHash=1_SEIDecodedPictureHash=1_SEIDecodedPictureHash=1_qtbt-test3_ClassB_S05_q0_32_F600_T8</t>
  </si>
  <si>
    <t>KTADev_intra_jvet10_SEIDecodedPictureHash=1_SEIDecodedPictureHash=1_SEIDecodedPictureHash=1_qtbt-test3_ClassB_S05_q0_37_F600_T8</t>
  </si>
  <si>
    <t>KTADev_intra_jvet10_SEIDecodedPictureHash=1_SEIDecodedPictureHash=1_SEIDecodedPictureHash=1_qtbt-test3_ClassC_S01_q0_22_F500_T8</t>
  </si>
  <si>
    <t>KTADev_intra_jvet10_SEIDecodedPictureHash=1_SEIDecodedPictureHash=1_SEIDecodedPictureHash=1_qtbt-test3_ClassC_S01_q0_27_F500_T8</t>
  </si>
  <si>
    <t>KTADev_intra_jvet10_SEIDecodedPictureHash=1_SEIDecodedPictureHash=1_SEIDecodedPictureHash=1_qtbt-test3_ClassC_S01_q0_32_F500_T8</t>
  </si>
  <si>
    <t>KTADev_intra_jvet10_SEIDecodedPictureHash=1_SEIDecodedPictureHash=1_SEIDecodedPictureHash=1_qtbt-test3_ClassC_S01_q0_37_F500_T8</t>
  </si>
  <si>
    <t>KTADev_intra_jvet10_SEIDecodedPictureHash=1_SEIDecodedPictureHash=1_SEIDecodedPictureHash=1_qtbt-test3_ClassC_S02_q0_22_F600_T8</t>
  </si>
  <si>
    <t>KTADev_intra_jvet10_SEIDecodedPictureHash=1_SEIDecodedPictureHash=1_SEIDecodedPictureHash=1_qtbt-test3_ClassC_S02_q0_27_F600_T8</t>
  </si>
  <si>
    <t>KTADev_intra_jvet10_SEIDecodedPictureHash=1_SEIDecodedPictureHash=1_SEIDecodedPictureHash=1_qtbt-test3_ClassC_S02_q0_32_F600_T8</t>
  </si>
  <si>
    <t>KTADev_intra_jvet10_SEIDecodedPictureHash=1_SEIDecodedPictureHash=1_SEIDecodedPictureHash=1_qtbt-test3_ClassC_S02_q0_37_F600_T8</t>
  </si>
  <si>
    <t>KTADev_intra_jvet10_SEIDecodedPictureHash=1_SEIDecodedPictureHash=1_SEIDecodedPictureHash=1_qtbt-test3_ClassC_S03_q0_22_F500_T8</t>
  </si>
  <si>
    <t>KTADev_intra_jvet10_SEIDecodedPictureHash=1_SEIDecodedPictureHash=1_SEIDecodedPictureHash=1_qtbt-test3_ClassC_S03_q0_27_F500_T8</t>
  </si>
  <si>
    <t>KTADev_intra_jvet10_SEIDecodedPictureHash=1_SEIDecodedPictureHash=1_SEIDecodedPictureHash=1_qtbt-test3_ClassC_S03_q0_32_F500_T8</t>
  </si>
  <si>
    <t>KTADev_intra_jvet10_SEIDecodedPictureHash=1_SEIDecodedPictureHash=1_SEIDecodedPictureHash=1_qtbt-test3_ClassC_S03_q0_37_F500_T8</t>
  </si>
  <si>
    <t>KTADev_intra_jvet10_SEIDecodedPictureHash=1_SEIDecodedPictureHash=1_SEIDecodedPictureHash=1_qtbt-test3_ClassC_S04_q0_22_F300_T8</t>
  </si>
  <si>
    <t>KTADev_intra_jvet10_SEIDecodedPictureHash=1_SEIDecodedPictureHash=1_SEIDecodedPictureHash=1_qtbt-test3_ClassC_S04_q0_27_F300_T8</t>
  </si>
  <si>
    <t>KTADev_intra_jvet10_SEIDecodedPictureHash=1_SEIDecodedPictureHash=1_SEIDecodedPictureHash=1_qtbt-test3_ClassC_S04_q0_32_F300_T8</t>
  </si>
  <si>
    <t>KTADev_intra_jvet10_SEIDecodedPictureHash=1_SEIDecodedPictureHash=1_SEIDecodedPictureHash=1_qtbt-test3_ClassC_S04_q0_37_F300_T8</t>
  </si>
  <si>
    <t>KTADev_intra_jvet10_SEIDecodedPictureHash=1_SEIDecodedPictureHash=1_SEIDecodedPictureHash=1_qtbt-test3_ClassD_S01_q0_22_F500_T8</t>
  </si>
  <si>
    <t>KTADev_intra_jvet10_SEIDecodedPictureHash=1_SEIDecodedPictureHash=1_SEIDecodedPictureHash=1_qtbt-test3_ClassD_S01_q0_27_F500_T8</t>
  </si>
  <si>
    <t>KTADev_intra_jvet10_SEIDecodedPictureHash=1_SEIDecodedPictureHash=1_SEIDecodedPictureHash=1_qtbt-test3_ClassD_S01_q0_32_F500_T8</t>
  </si>
  <si>
    <t>KTADev_intra_jvet10_SEIDecodedPictureHash=1_SEIDecodedPictureHash=1_SEIDecodedPictureHash=1_qtbt-test3_ClassD_S01_q0_37_F500_T8</t>
  </si>
  <si>
    <t>KTADev_intra_jvet10_SEIDecodedPictureHash=1_SEIDecodedPictureHash=1_SEIDecodedPictureHash=1_qtbt-test3_ClassD_S02_q0_22_F600_T8</t>
  </si>
  <si>
    <t>KTADev_intra_jvet10_SEIDecodedPictureHash=1_SEIDecodedPictureHash=1_SEIDecodedPictureHash=1_qtbt-test3_ClassD_S02_q0_27_F600_T8</t>
  </si>
  <si>
    <t>KTADev_intra_jvet10_SEIDecodedPictureHash=1_SEIDecodedPictureHash=1_SEIDecodedPictureHash=1_qtbt-test3_ClassD_S02_q0_32_F600_T8</t>
  </si>
  <si>
    <t>KTADev_intra_jvet10_SEIDecodedPictureHash=1_SEIDecodedPictureHash=1_SEIDecodedPictureHash=1_qtbt-test3_ClassD_S02_q0_37_F600_T8</t>
  </si>
  <si>
    <t>KTADev_intra_jvet10_SEIDecodedPictureHash=1_SEIDecodedPictureHash=1_SEIDecodedPictureHash=1_qtbt-test3_ClassD_S03_q0_22_F500_T8</t>
  </si>
  <si>
    <t>KTADev_intra_jvet10_SEIDecodedPictureHash=1_SEIDecodedPictureHash=1_SEIDecodedPictureHash=1_qtbt-test3_ClassD_S03_q0_27_F500_T8</t>
  </si>
  <si>
    <t>KTADev_intra_jvet10_SEIDecodedPictureHash=1_SEIDecodedPictureHash=1_SEIDecodedPictureHash=1_qtbt-test3_ClassD_S03_q0_32_F500_T8</t>
  </si>
  <si>
    <t>KTADev_intra_jvet10_SEIDecodedPictureHash=1_SEIDecodedPictureHash=1_SEIDecodedPictureHash=1_qtbt-test3_ClassD_S03_q0_37_F500_T8</t>
  </si>
  <si>
    <t>KTADev_intra_jvet10_SEIDecodedPictureHash=1_SEIDecodedPictureHash=1_SEIDecodedPictureHash=1_qtbt-test3_ClassD_S04_q0_22_F300_T8</t>
  </si>
  <si>
    <t>KTADev_intra_jvet10_SEIDecodedPictureHash=1_SEIDecodedPictureHash=1_SEIDecodedPictureHash=1_qtbt-test3_ClassD_S04_q0_27_F300_T8</t>
  </si>
  <si>
    <t>KTADev_intra_jvet10_SEIDecodedPictureHash=1_SEIDecodedPictureHash=1_SEIDecodedPictureHash=1_qtbt-test3_ClassD_S04_q0_32_F300_T8</t>
  </si>
  <si>
    <t>KTADev_intra_jvet10_SEIDecodedPictureHash=1_SEIDecodedPictureHash=1_SEIDecodedPictureHash=1_qtbt-test3_ClassD_S04_q0_37_F300_T8</t>
  </si>
  <si>
    <t>KTADev_intra_jvet10_SEIDecodedPictureHash=1_SEIDecodedPictureHash=1_SEIDecodedPictureHash=1_qtbt-test3_ClassE_S01_q0_22_F600_T8</t>
  </si>
  <si>
    <t>KTADev_intra_jvet10_SEIDecodedPictureHash=1_SEIDecodedPictureHash=1_SEIDecodedPictureHash=1_qtbt-test3_ClassE_S01_q0_27_F600_T8</t>
  </si>
  <si>
    <t>KTADev_intra_jvet10_SEIDecodedPictureHash=1_SEIDecodedPictureHash=1_SEIDecodedPictureHash=1_qtbt-test3_ClassE_S01_q0_32_F600_T8</t>
  </si>
  <si>
    <t>KTADev_intra_jvet10_SEIDecodedPictureHash=1_SEIDecodedPictureHash=1_SEIDecodedPictureHash=1_qtbt-test3_ClassE_S01_q0_37_F600_T8</t>
  </si>
  <si>
    <t>KTADev_intra_jvet10_SEIDecodedPictureHash=1_SEIDecodedPictureHash=1_SEIDecodedPictureHash=1_qtbt-test3_ClassE_S02_q0_22_F600_T8</t>
  </si>
  <si>
    <t>KTADev_intra_jvet10_SEIDecodedPictureHash=1_SEIDecodedPictureHash=1_SEIDecodedPictureHash=1_qtbt-test3_ClassE_S02_q0_27_F600_T8</t>
  </si>
  <si>
    <t>KTADev_intra_jvet10_SEIDecodedPictureHash=1_SEIDecodedPictureHash=1_SEIDecodedPictureHash=1_qtbt-test3_ClassE_S02_q0_32_F600_T8</t>
  </si>
  <si>
    <t>KTADev_intra_jvet10_SEIDecodedPictureHash=1_SEIDecodedPictureHash=1_SEIDecodedPictureHash=1_qtbt-test3_ClassE_S02_q0_37_F600_T8</t>
  </si>
  <si>
    <t>KTADev_intra_jvet10_SEIDecodedPictureHash=1_SEIDecodedPictureHash=1_SEIDecodedPictureHash=1_qtbt-test3_ClassE_S03_q0_22_F600_T8</t>
  </si>
  <si>
    <t>KTADev_intra_jvet10_SEIDecodedPictureHash=1_SEIDecodedPictureHash=1_SEIDecodedPictureHash=1_qtbt-test3_ClassE_S03_q0_27_F600_T8</t>
  </si>
  <si>
    <t>KTADev_intra_jvet10_SEIDecodedPictureHash=1_SEIDecodedPictureHash=1_SEIDecodedPictureHash=1_qtbt-test3_ClassE_S03_q0_32_F600_T8</t>
  </si>
  <si>
    <t>KTADev_intra_jvet10_SEIDecodedPictureHash=1_SEIDecodedPictureHash=1_SEIDecodedPictureHash=1_qtbt-test3_ClassE_S03_q0_37_F600_T8</t>
  </si>
  <si>
    <t>KTADev_intra_jvet10_SEIDecodedPictureHash=1_SEIDecodedPictureHash=1_SEIDecodedPictureHash=1_qtbt-test3_ClassF_S01_q0_22_F500_T8</t>
  </si>
  <si>
    <t>KTADev_intra_jvet10_SEIDecodedPictureHash=1_SEIDecodedPictureHash=1_SEIDecodedPictureHash=1_qtbt-test3_ClassF_S01_q0_27_F500_T8</t>
  </si>
  <si>
    <t>KTADev_intra_jvet10_SEIDecodedPictureHash=1_SEIDecodedPictureHash=1_SEIDecodedPictureHash=1_qtbt-test3_ClassF_S01_q0_32_F500_T8</t>
  </si>
  <si>
    <t>KTADev_intra_jvet10_SEIDecodedPictureHash=1_SEIDecodedPictureHash=1_SEIDecodedPictureHash=1_qtbt-test3_ClassF_S01_q0_37_F500_T8</t>
  </si>
  <si>
    <t>KTADev_intra_jvet10_SEIDecodedPictureHash=1_SEIDecodedPictureHash=1_SEIDecodedPictureHash=1_qtbt-test3_ClassF_S02_q0_22_F500_T8</t>
  </si>
  <si>
    <t>KTADev_intra_jvet10_SEIDecodedPictureHash=1_SEIDecodedPictureHash=1_SEIDecodedPictureHash=1_qtbt-test3_ClassF_S02_q0_27_F500_T8</t>
  </si>
  <si>
    <t>KTADev_intra_jvet10_SEIDecodedPictureHash=1_SEIDecodedPictureHash=1_SEIDecodedPictureHash=1_qtbt-test3_ClassF_S02_q0_32_F500_T8</t>
  </si>
  <si>
    <t>KTADev_intra_jvet10_SEIDecodedPictureHash=1_SEIDecodedPictureHash=1_SEIDecodedPictureHash=1_qtbt-test3_ClassF_S02_q0_37_F500_T8</t>
  </si>
  <si>
    <t>KTADev_intra_jvet10_SEIDecodedPictureHash=1_SEIDecodedPictureHash=1_SEIDecodedPictureHash=1_qtbt-test3_ClassF_S03_q0_22_F300_T8</t>
  </si>
  <si>
    <t>KTADev_intra_jvet10_SEIDecodedPictureHash=1_SEIDecodedPictureHash=1_SEIDecodedPictureHash=1_qtbt-test3_ClassF_S03_q0_27_F300_T8</t>
  </si>
  <si>
    <t>KTADev_intra_jvet10_SEIDecodedPictureHash=1_SEIDecodedPictureHash=1_SEIDecodedPictureHash=1_qtbt-test3_ClassF_S03_q0_32_F300_T8</t>
  </si>
  <si>
    <t>KTADev_intra_jvet10_SEIDecodedPictureHash=1_SEIDecodedPictureHash=1_SEIDecodedPictureHash=1_qtbt-test3_ClassF_S03_q0_37_F300_T8</t>
  </si>
  <si>
    <t>KTADev_intra_jvet10_SEIDecodedPictureHash=1_SEIDecodedPictureHash=1_SEIDecodedPictureHash=1_qtbt-test3_ClassF_S04_q0_22_F500_T8</t>
  </si>
  <si>
    <t>KTADev_intra_jvet10_SEIDecodedPictureHash=1_SEIDecodedPictureHash=1_SEIDecodedPictureHash=1_qtbt-test3_ClassF_S04_q0_27_F500_T8</t>
  </si>
  <si>
    <t>KTADev_intra_jvet10_SEIDecodedPictureHash=1_SEIDecodedPictureHash=1_SEIDecodedPictureHash=1_qtbt-test3_ClassF_S04_q0_32_F500_T8</t>
  </si>
  <si>
    <t>KTADev_intra_jvet10_SEIDecodedPictureHash=1_SEIDecodedPictureHash=1_SEIDecodedPictureHash=1_qtbt-test3_ClassF_S04_q0_37_F500_T8</t>
  </si>
  <si>
    <t>KTADev_randomaccess_jvet10_SEIDecodedPictureHash=1_SEIDecodedPictureHash=1_SEIDecodedPictureHash=1_qtbt-test3_ClassA1_S01_q0_22_F294_T1</t>
  </si>
  <si>
    <t>KTADev_randomaccess_jvet10_SEIDecodedPictureHash=1_SEIDecodedPictureHash=1_SEIDecodedPictureHash=1_qtbt-test3_ClassA1_S01_q0_27_F294_T1</t>
  </si>
  <si>
    <t>KTADev_randomaccess_jvet10_SEIDecodedPictureHash=1_SEIDecodedPictureHash=1_SEIDecodedPictureHash=1_qtbt-test3_ClassA1_S01_q0_32_F294_T1</t>
  </si>
  <si>
    <t>KTADev_randomaccess_jvet10_SEIDecodedPictureHash=1_SEIDecodedPictureHash=1_SEIDecodedPictureHash=1_qtbt-test3_ClassA1_S01_q0_37_F294_T1</t>
  </si>
  <si>
    <t>KTADev_randomaccess_jvet10_SEIDecodedPictureHash=1_SEIDecodedPictureHash=1_SEIDecodedPictureHash=1_qtbt-test3_ClassA1_S02_q0_22_F300_T1</t>
  </si>
  <si>
    <t>KTADev_randomaccess_jvet10_SEIDecodedPictureHash=1_SEIDecodedPictureHash=1_SEIDecodedPictureHash=1_qtbt-test3_ClassA1_S02_q0_27_F300_T1</t>
  </si>
  <si>
    <t>KTADev_randomaccess_jvet10_SEIDecodedPictureHash=1_SEIDecodedPictureHash=1_SEIDecodedPictureHash=1_qtbt-test3_ClassA1_S02_q0_32_F300_T1</t>
  </si>
  <si>
    <t>KTADev_randomaccess_jvet10_SEIDecodedPictureHash=1_SEIDecodedPictureHash=1_SEIDecodedPictureHash=1_qtbt-test3_ClassA1_S02_q0_37_F300_T1</t>
  </si>
  <si>
    <t>KTADev_randomaccess_jvet10_SEIDecodedPictureHash=1_SEIDecodedPictureHash=1_SEIDecodedPictureHash=1_qtbt-test3_ClassA1_S03_q0_22_F300_T1</t>
  </si>
  <si>
    <t>KTADev_randomaccess_jvet10_SEIDecodedPictureHash=1_SEIDecodedPictureHash=1_SEIDecodedPictureHash=1_qtbt-test3_ClassA1_S03_q0_27_F300_T1</t>
  </si>
  <si>
    <t>KTADev_randomaccess_jvet10_SEIDecodedPictureHash=1_SEIDecodedPictureHash=1_SEIDecodedPictureHash=1_qtbt-test3_ClassA1_S03_q0_32_F300_T1</t>
  </si>
  <si>
    <t>KTADev_randomaccess_jvet10_SEIDecodedPictureHash=1_SEIDecodedPictureHash=1_SEIDecodedPictureHash=1_qtbt-test3_ClassA1_S03_q0_37_F300_T1</t>
  </si>
  <si>
    <t>KTADev_randomaccess_jvet10_SEIDecodedPictureHash=1_SEIDecodedPictureHash=1_SEIDecodedPictureHash=1_qtbt-test3_ClassA1_S04_q0_22_F300_T1</t>
  </si>
  <si>
    <t>KTADev_randomaccess_jvet10_SEIDecodedPictureHash=1_SEIDecodedPictureHash=1_SEIDecodedPictureHash=1_qtbt-test3_ClassA1_S04_q0_27_F300_T1</t>
  </si>
  <si>
    <t>KTADev_randomaccess_jvet10_SEIDecodedPictureHash=1_SEIDecodedPictureHash=1_SEIDecodedPictureHash=1_qtbt-test3_ClassA1_S04_q0_32_F300_T1</t>
  </si>
  <si>
    <t>KTADev_randomaccess_jvet10_SEIDecodedPictureHash=1_SEIDecodedPictureHash=1_SEIDecodedPictureHash=1_qtbt-test3_ClassA1_S04_q0_37_F300_T1</t>
  </si>
  <si>
    <t>KTADev_randomaccess_jvet10_SEIDecodedPictureHash=1_SEIDecodedPictureHash=1_SEIDecodedPictureHash=1_qtbt-test3_ClassA2_S01_q0_22_F300_T1</t>
  </si>
  <si>
    <t>KTADev_randomaccess_jvet10_SEIDecodedPictureHash=1_SEIDecodedPictureHash=1_SEIDecodedPictureHash=1_qtbt-test3_ClassA2_S01_q0_27_F300_T1</t>
  </si>
  <si>
    <t>KTADev_randomaccess_jvet10_SEIDecodedPictureHash=1_SEIDecodedPictureHash=1_SEIDecodedPictureHash=1_qtbt-test3_ClassA2_S01_q0_32_F300_T1</t>
  </si>
  <si>
    <t>KTADev_randomaccess_jvet10_SEIDecodedPictureHash=1_SEIDecodedPictureHash=1_SEIDecodedPictureHash=1_qtbt-test3_ClassA2_S01_q0_37_F300_T1</t>
  </si>
  <si>
    <t>KTADev_randomaccess_jvet10_SEIDecodedPictureHash=1_SEIDecodedPictureHash=1_SEIDecodedPictureHash=1_qtbt-test3_ClassA2_S02_q0_22_F300_T1</t>
  </si>
  <si>
    <t>KTADev_randomaccess_jvet10_SEIDecodedPictureHash=1_SEIDecodedPictureHash=1_SEIDecodedPictureHash=1_qtbt-test3_ClassA2_S02_q0_27_F300_T1</t>
  </si>
  <si>
    <t>KTADev_randomaccess_jvet10_SEIDecodedPictureHash=1_SEIDecodedPictureHash=1_SEIDecodedPictureHash=1_qtbt-test3_ClassA2_S02_q0_32_F300_T1</t>
  </si>
  <si>
    <t>KTADev_randomaccess_jvet10_SEIDecodedPictureHash=1_SEIDecodedPictureHash=1_SEIDecodedPictureHash=1_qtbt-test3_ClassA2_S02_q0_37_F300_T1</t>
  </si>
  <si>
    <t>KTADev_randomaccess_jvet10_SEIDecodedPictureHash=1_SEIDecodedPictureHash=1_SEIDecodedPictureHash=1_qtbt-test3_ClassA2_S03_q0_22_F300_T1</t>
  </si>
  <si>
    <t>KTADev_randomaccess_jvet10_SEIDecodedPictureHash=1_SEIDecodedPictureHash=1_SEIDecodedPictureHash=1_qtbt-test3_ClassA2_S03_q0_27_F300_T1</t>
  </si>
  <si>
    <t>KTADev_randomaccess_jvet10_SEIDecodedPictureHash=1_SEIDecodedPictureHash=1_SEIDecodedPictureHash=1_qtbt-test3_ClassA2_S03_q0_32_F300_T1</t>
  </si>
  <si>
    <t>KTADev_randomaccess_jvet10_SEIDecodedPictureHash=1_SEIDecodedPictureHash=1_SEIDecodedPictureHash=1_qtbt-test3_ClassA2_S03_q0_37_F300_T1</t>
  </si>
  <si>
    <t>KTADev_randomaccess_jvet10_SEIDecodedPictureHash=1_SEIDecodedPictureHash=1_SEIDecodedPictureHash=1_qtbt-test3_ClassA2_S04_q0_22_F300_T1</t>
  </si>
  <si>
    <t>KTADev_randomaccess_jvet10_SEIDecodedPictureHash=1_SEIDecodedPictureHash=1_SEIDecodedPictureHash=1_qtbt-test3_ClassA2_S04_q0_27_F300_T1</t>
  </si>
  <si>
    <t>KTADev_randomaccess_jvet10_SEIDecodedPictureHash=1_SEIDecodedPictureHash=1_SEIDecodedPictureHash=1_qtbt-test3_ClassA2_S04_q0_32_F300_T1</t>
  </si>
  <si>
    <t>KTADev_randomaccess_jvet10_SEIDecodedPictureHash=1_SEIDecodedPictureHash=1_SEIDecodedPictureHash=1_qtbt-test3_ClassA2_S04_q0_37_F300_T1</t>
  </si>
  <si>
    <t>KTADev_randomaccess_jvet10_SEIDecodedPictureHash=1_SEIDecodedPictureHash=1_SEIDecodedPictureHash=1_qtbt-test3_ClassB_S01_q0_22_F240_T1</t>
  </si>
  <si>
    <t>KTADev_randomaccess_jvet10_SEIDecodedPictureHash=1_SEIDecodedPictureHash=1_SEIDecodedPictureHash=1_qtbt-test3_ClassB_S01_q0_27_F240_T1</t>
  </si>
  <si>
    <t>KTADev_randomaccess_jvet10_SEIDecodedPictureHash=1_SEIDecodedPictureHash=1_SEIDecodedPictureHash=1_qtbt-test3_ClassB_S01_q0_32_F240_T1</t>
  </si>
  <si>
    <t>KTADev_randomaccess_jvet10_SEIDecodedPictureHash=1_SEIDecodedPictureHash=1_SEIDecodedPictureHash=1_qtbt-test3_ClassB_S01_q0_37_F240_T1</t>
  </si>
  <si>
    <t>KTADev_randomaccess_jvet10_SEIDecodedPictureHash=1_SEIDecodedPictureHash=1_SEIDecodedPictureHash=1_qtbt-test3_ClassB_S02_q0_22_F240_T1</t>
  </si>
  <si>
    <t>KTADev_randomaccess_jvet10_SEIDecodedPictureHash=1_SEIDecodedPictureHash=1_SEIDecodedPictureHash=1_qtbt-test3_ClassB_S02_q0_27_F240_T1</t>
  </si>
  <si>
    <t>KTADev_randomaccess_jvet10_SEIDecodedPictureHash=1_SEIDecodedPictureHash=1_SEIDecodedPictureHash=1_qtbt-test3_ClassB_S02_q0_32_F240_T1</t>
  </si>
  <si>
    <t>KTADev_randomaccess_jvet10_SEIDecodedPictureHash=1_SEIDecodedPictureHash=1_SEIDecodedPictureHash=1_qtbt-test3_ClassB_S02_q0_37_F240_T1</t>
  </si>
  <si>
    <t>KTADev_randomaccess_jvet10_SEIDecodedPictureHash=1_SEIDecodedPictureHash=1_SEIDecodedPictureHash=1_qtbt-test3_ClassB_S03_q0_22_F500_T1</t>
  </si>
  <si>
    <t>KTADev_randomaccess_jvet10_SEIDecodedPictureHash=1_SEIDecodedPictureHash=1_SEIDecodedPictureHash=1_qtbt-test3_ClassB_S03_q0_27_F500_T1</t>
  </si>
  <si>
    <t>KTADev_randomaccess_jvet10_SEIDecodedPictureHash=1_SEIDecodedPictureHash=1_SEIDecodedPictureHash=1_qtbt-test3_ClassB_S03_q0_32_F500_T1</t>
  </si>
  <si>
    <t>KTADev_randomaccess_jvet10_SEIDecodedPictureHash=1_SEIDecodedPictureHash=1_SEIDecodedPictureHash=1_qtbt-test3_ClassB_S03_q0_37_F500_T1</t>
  </si>
  <si>
    <t>KTADev_randomaccess_jvet10_SEIDecodedPictureHash=1_SEIDecodedPictureHash=1_SEIDecodedPictureHash=1_qtbt-test3_ClassB_S04_q0_22_F500_T1</t>
  </si>
  <si>
    <t>KTADev_randomaccess_jvet10_SEIDecodedPictureHash=1_SEIDecodedPictureHash=1_SEIDecodedPictureHash=1_qtbt-test3_ClassB_S04_q0_27_F500_T1</t>
  </si>
  <si>
    <t>KTADev_randomaccess_jvet10_SEIDecodedPictureHash=1_SEIDecodedPictureHash=1_SEIDecodedPictureHash=1_qtbt-test3_ClassB_S04_q0_32_F500_T1</t>
  </si>
  <si>
    <t>KTADev_randomaccess_jvet10_SEIDecodedPictureHash=1_SEIDecodedPictureHash=1_SEIDecodedPictureHash=1_qtbt-test3_ClassB_S04_q0_37_F500_T1</t>
  </si>
  <si>
    <t>KTADev_randomaccess_jvet10_SEIDecodedPictureHash=1_SEIDecodedPictureHash=1_SEIDecodedPictureHash=1_qtbt-test3_ClassB_S05_q0_22_F600_T1</t>
  </si>
  <si>
    <t>KTADev_randomaccess_jvet10_SEIDecodedPictureHash=1_SEIDecodedPictureHash=1_SEIDecodedPictureHash=1_qtbt-test3_ClassB_S05_q0_27_F600_T1</t>
  </si>
  <si>
    <t>KTADev_randomaccess_jvet10_SEIDecodedPictureHash=1_SEIDecodedPictureHash=1_SEIDecodedPictureHash=1_qtbt-test3_ClassB_S05_q0_32_F600_T1</t>
  </si>
  <si>
    <t>KTADev_randomaccess_jvet10_SEIDecodedPictureHash=1_SEIDecodedPictureHash=1_SEIDecodedPictureHash=1_qtbt-test3_ClassB_S05_q0_37_F600_T1</t>
  </si>
  <si>
    <t>KTADev_randomaccess_jvet10_SEIDecodedPictureHash=1_SEIDecodedPictureHash=1_SEIDecodedPictureHash=1_qtbt-test3_ClassC_S01_q0_22_F500_T1</t>
  </si>
  <si>
    <t>KTADev_randomaccess_jvet10_SEIDecodedPictureHash=1_SEIDecodedPictureHash=1_SEIDecodedPictureHash=1_qtbt-test3_ClassC_S01_q0_27_F500_T1</t>
  </si>
  <si>
    <t>KTADev_randomaccess_jvet10_SEIDecodedPictureHash=1_SEIDecodedPictureHash=1_SEIDecodedPictureHash=1_qtbt-test3_ClassC_S01_q0_32_F500_T1</t>
  </si>
  <si>
    <t>KTADev_randomaccess_jvet10_SEIDecodedPictureHash=1_SEIDecodedPictureHash=1_SEIDecodedPictureHash=1_qtbt-test3_ClassC_S01_q0_37_F500_T1</t>
  </si>
  <si>
    <t>KTADev_randomaccess_jvet10_SEIDecodedPictureHash=1_SEIDecodedPictureHash=1_SEIDecodedPictureHash=1_qtbt-test3_ClassC_S02_q0_22_F600_T1</t>
  </si>
  <si>
    <t>KTADev_randomaccess_jvet10_SEIDecodedPictureHash=1_SEIDecodedPictureHash=1_SEIDecodedPictureHash=1_qtbt-test3_ClassC_S02_q0_27_F600_T1</t>
  </si>
  <si>
    <t>KTADev_randomaccess_jvet10_SEIDecodedPictureHash=1_SEIDecodedPictureHash=1_SEIDecodedPictureHash=1_qtbt-test3_ClassC_S02_q0_32_F600_T1</t>
  </si>
  <si>
    <t>KTADev_randomaccess_jvet10_SEIDecodedPictureHash=1_SEIDecodedPictureHash=1_SEIDecodedPictureHash=1_qtbt-test3_ClassC_S02_q0_37_F600_T1</t>
  </si>
  <si>
    <t>KTADev_randomaccess_jvet10_SEIDecodedPictureHash=1_SEIDecodedPictureHash=1_SEIDecodedPictureHash=1_qtbt-test3_ClassC_S03_q0_22_F500_T1</t>
  </si>
  <si>
    <t>KTADev_randomaccess_jvet10_SEIDecodedPictureHash=1_SEIDecodedPictureHash=1_SEIDecodedPictureHash=1_qtbt-test3_ClassC_S03_q0_27_F500_T1</t>
  </si>
  <si>
    <t>KTADev_randomaccess_jvet10_SEIDecodedPictureHash=1_SEIDecodedPictureHash=1_SEIDecodedPictureHash=1_qtbt-test3_ClassC_S03_q0_32_F500_T1</t>
  </si>
  <si>
    <t>KTADev_randomaccess_jvet10_SEIDecodedPictureHash=1_SEIDecodedPictureHash=1_SEIDecodedPictureHash=1_qtbt-test3_ClassC_S03_q0_37_F500_T1</t>
  </si>
  <si>
    <t>KTADev_randomaccess_jvet10_SEIDecodedPictureHash=1_SEIDecodedPictureHash=1_SEIDecodedPictureHash=1_qtbt-test3_ClassC_S04_q0_22_F300_T1</t>
  </si>
  <si>
    <t>KTADev_randomaccess_jvet10_SEIDecodedPictureHash=1_SEIDecodedPictureHash=1_SEIDecodedPictureHash=1_qtbt-test3_ClassC_S04_q0_27_F300_T1</t>
  </si>
  <si>
    <t>KTADev_randomaccess_jvet10_SEIDecodedPictureHash=1_SEIDecodedPictureHash=1_SEIDecodedPictureHash=1_qtbt-test3_ClassC_S04_q0_32_F300_T1</t>
  </si>
  <si>
    <t>KTADev_randomaccess_jvet10_SEIDecodedPictureHash=1_SEIDecodedPictureHash=1_SEIDecodedPictureHash=1_qtbt-test3_ClassC_S04_q0_37_F300_T1</t>
  </si>
  <si>
    <t>KTADev_randomaccess_jvet10_SEIDecodedPictureHash=1_SEIDecodedPictureHash=1_SEIDecodedPictureHash=1_qtbt-test3_ClassD_S01_q0_22_F500_T1</t>
  </si>
  <si>
    <t>KTADev_randomaccess_jvet10_SEIDecodedPictureHash=1_SEIDecodedPictureHash=1_SEIDecodedPictureHash=1_qtbt-test3_ClassD_S01_q0_27_F500_T1</t>
  </si>
  <si>
    <t>KTADev_randomaccess_jvet10_SEIDecodedPictureHash=1_SEIDecodedPictureHash=1_SEIDecodedPictureHash=1_qtbt-test3_ClassD_S01_q0_32_F500_T1</t>
  </si>
  <si>
    <t>KTADev_randomaccess_jvet10_SEIDecodedPictureHash=1_SEIDecodedPictureHash=1_SEIDecodedPictureHash=1_qtbt-test3_ClassD_S01_q0_37_F500_T1</t>
  </si>
  <si>
    <t>KTADev_randomaccess_jvet10_SEIDecodedPictureHash=1_SEIDecodedPictureHash=1_SEIDecodedPictureHash=1_qtbt-test3_ClassD_S02_q0_22_F600_T1</t>
  </si>
  <si>
    <t>KTADev_randomaccess_jvet10_SEIDecodedPictureHash=1_SEIDecodedPictureHash=1_SEIDecodedPictureHash=1_qtbt-test3_ClassD_S02_q0_27_F600_T1</t>
  </si>
  <si>
    <t>KTADev_randomaccess_jvet10_SEIDecodedPictureHash=1_SEIDecodedPictureHash=1_SEIDecodedPictureHash=1_qtbt-test3_ClassD_S02_q0_32_F600_T1</t>
  </si>
  <si>
    <t>KTADev_randomaccess_jvet10_SEIDecodedPictureHash=1_SEIDecodedPictureHash=1_SEIDecodedPictureHash=1_qtbt-test3_ClassD_S02_q0_37_F600_T1</t>
  </si>
  <si>
    <t>KTADev_randomaccess_jvet10_SEIDecodedPictureHash=1_SEIDecodedPictureHash=1_SEIDecodedPictureHash=1_qtbt-test3_ClassD_S03_q0_22_F500_T1</t>
  </si>
  <si>
    <t>KTADev_randomaccess_jvet10_SEIDecodedPictureHash=1_SEIDecodedPictureHash=1_SEIDecodedPictureHash=1_qtbt-test3_ClassD_S03_q0_27_F500_T1</t>
  </si>
  <si>
    <t>KTADev_randomaccess_jvet10_SEIDecodedPictureHash=1_SEIDecodedPictureHash=1_SEIDecodedPictureHash=1_qtbt-test3_ClassD_S03_q0_32_F500_T1</t>
  </si>
  <si>
    <t>KTADev_randomaccess_jvet10_SEIDecodedPictureHash=1_SEIDecodedPictureHash=1_SEIDecodedPictureHash=1_qtbt-test3_ClassD_S03_q0_37_F500_T1</t>
  </si>
  <si>
    <t>KTADev_randomaccess_jvet10_SEIDecodedPictureHash=1_SEIDecodedPictureHash=1_SEIDecodedPictureHash=1_qtbt-test3_ClassD_S04_q0_22_F300_T1</t>
  </si>
  <si>
    <t>KTADev_randomaccess_jvet10_SEIDecodedPictureHash=1_SEIDecodedPictureHash=1_SEIDecodedPictureHash=1_qtbt-test3_ClassD_S04_q0_27_F300_T1</t>
  </si>
  <si>
    <t>KTADev_randomaccess_jvet10_SEIDecodedPictureHash=1_SEIDecodedPictureHash=1_SEIDecodedPictureHash=1_qtbt-test3_ClassD_S04_q0_32_F300_T1</t>
  </si>
  <si>
    <t>KTADev_randomaccess_jvet10_SEIDecodedPictureHash=1_SEIDecodedPictureHash=1_SEIDecodedPictureHash=1_qtbt-test3_ClassD_S04_q0_37_F300_T1</t>
  </si>
  <si>
    <t>KTADev_randomaccess_jvet10_SEIDecodedPictureHash=1_SEIDecodedPictureHash=1_SEIDecodedPictureHash=1_qtbt-test3_ClassE_S01_q0_22_F600_T1</t>
  </si>
  <si>
    <t>KTADev_randomaccess_jvet10_SEIDecodedPictureHash=1_SEIDecodedPictureHash=1_SEIDecodedPictureHash=1_qtbt-test3_ClassE_S01_q0_27_F600_T1</t>
  </si>
  <si>
    <t>KTADev_randomaccess_jvet10_SEIDecodedPictureHash=1_SEIDecodedPictureHash=1_SEIDecodedPictureHash=1_qtbt-test3_ClassE_S01_q0_32_F600_T1</t>
  </si>
  <si>
    <t>KTADev_randomaccess_jvet10_SEIDecodedPictureHash=1_SEIDecodedPictureHash=1_SEIDecodedPictureHash=1_qtbt-test3_ClassE_S01_q0_37_F600_T1</t>
  </si>
  <si>
    <t>KTADev_randomaccess_jvet10_SEIDecodedPictureHash=1_SEIDecodedPictureHash=1_SEIDecodedPictureHash=1_qtbt-test3_ClassE_S02_q0_22_F600_T1</t>
  </si>
  <si>
    <t>KTADev_randomaccess_jvet10_SEIDecodedPictureHash=1_SEIDecodedPictureHash=1_SEIDecodedPictureHash=1_qtbt-test3_ClassE_S02_q0_27_F600_T1</t>
  </si>
  <si>
    <t>KTADev_randomaccess_jvet10_SEIDecodedPictureHash=1_SEIDecodedPictureHash=1_SEIDecodedPictureHash=1_qtbt-test3_ClassE_S02_q0_32_F600_T1</t>
  </si>
  <si>
    <t>KTADev_randomaccess_jvet10_SEIDecodedPictureHash=1_SEIDecodedPictureHash=1_SEIDecodedPictureHash=1_qtbt-test3_ClassE_S02_q0_37_F600_T1</t>
  </si>
  <si>
    <t>KTADev_randomaccess_jvet10_SEIDecodedPictureHash=1_SEIDecodedPictureHash=1_SEIDecodedPictureHash=1_qtbt-test3_ClassE_S03_q0_22_F600_T1</t>
  </si>
  <si>
    <t>KTADev_randomaccess_jvet10_SEIDecodedPictureHash=1_SEIDecodedPictureHash=1_SEIDecodedPictureHash=1_qtbt-test3_ClassE_S03_q0_27_F600_T1</t>
  </si>
  <si>
    <t>KTADev_randomaccess_jvet10_SEIDecodedPictureHash=1_SEIDecodedPictureHash=1_SEIDecodedPictureHash=1_qtbt-test3_ClassE_S03_q0_32_F600_T1</t>
  </si>
  <si>
    <t>KTADev_randomaccess_jvet10_SEIDecodedPictureHash=1_SEIDecodedPictureHash=1_SEIDecodedPictureHash=1_qtbt-test3_ClassE_S03_q0_37_F600_T1</t>
  </si>
  <si>
    <t>KTADev_randomaccess_jvet10_SEIDecodedPictureHash=1_SEIDecodedPictureHash=1_SEIDecodedPictureHash=1_qtbt-test3_ClassF_S01_q0_22_F500_T1</t>
  </si>
  <si>
    <t>KTADev_randomaccess_jvet10_SEIDecodedPictureHash=1_SEIDecodedPictureHash=1_SEIDecodedPictureHash=1_qtbt-test3_ClassF_S01_q0_27_F500_T1</t>
  </si>
  <si>
    <t>KTADev_randomaccess_jvet10_SEIDecodedPictureHash=1_SEIDecodedPictureHash=1_SEIDecodedPictureHash=1_qtbt-test3_ClassF_S01_q0_32_F500_T1</t>
  </si>
  <si>
    <t>KTADev_randomaccess_jvet10_SEIDecodedPictureHash=1_SEIDecodedPictureHash=1_SEIDecodedPictureHash=1_qtbt-test3_ClassF_S01_q0_37_F500_T1</t>
  </si>
  <si>
    <t>KTADev_randomaccess_jvet10_SEIDecodedPictureHash=1_SEIDecodedPictureHash=1_SEIDecodedPictureHash=1_qtbt-test3_ClassF_S02_q0_22_F500_T1</t>
  </si>
  <si>
    <t>KTADev_randomaccess_jvet10_SEIDecodedPictureHash=1_SEIDecodedPictureHash=1_SEIDecodedPictureHash=1_qtbt-test3_ClassF_S02_q0_27_F500_T1</t>
  </si>
  <si>
    <t>KTADev_randomaccess_jvet10_SEIDecodedPictureHash=1_SEIDecodedPictureHash=1_SEIDecodedPictureHash=1_qtbt-test3_ClassF_S02_q0_32_F500_T1</t>
  </si>
  <si>
    <t>KTADev_randomaccess_jvet10_SEIDecodedPictureHash=1_SEIDecodedPictureHash=1_SEIDecodedPictureHash=1_qtbt-test3_ClassF_S02_q0_37_F500_T1</t>
  </si>
  <si>
    <t>KTADev_randomaccess_jvet10_SEIDecodedPictureHash=1_SEIDecodedPictureHash=1_SEIDecodedPictureHash=1_qtbt-test3_ClassF_S03_q0_22_F300_T1</t>
  </si>
  <si>
    <t>KTADev_randomaccess_jvet10_SEIDecodedPictureHash=1_SEIDecodedPictureHash=1_SEIDecodedPictureHash=1_qtbt-test3_ClassF_S03_q0_27_F300_T1</t>
  </si>
  <si>
    <t>KTADev_randomaccess_jvet10_SEIDecodedPictureHash=1_SEIDecodedPictureHash=1_SEIDecodedPictureHash=1_qtbt-test3_ClassF_S03_q0_32_F300_T1</t>
  </si>
  <si>
    <t>KTADev_randomaccess_jvet10_SEIDecodedPictureHash=1_SEIDecodedPictureHash=1_SEIDecodedPictureHash=1_qtbt-test3_ClassF_S03_q0_37_F300_T1</t>
  </si>
  <si>
    <t>KTADev_randomaccess_jvet10_SEIDecodedPictureHash=1_SEIDecodedPictureHash=1_SEIDecodedPictureHash=1_qtbt-test3_ClassF_S04_q0_22_F500_T1</t>
  </si>
  <si>
    <t>KTADev_randomaccess_jvet10_SEIDecodedPictureHash=1_SEIDecodedPictureHash=1_SEIDecodedPictureHash=1_qtbt-test3_ClassF_S04_q0_27_F500_T1</t>
  </si>
  <si>
    <t>KTADev_randomaccess_jvet10_SEIDecodedPictureHash=1_SEIDecodedPictureHash=1_SEIDecodedPictureHash=1_qtbt-test3_ClassF_S04_q0_32_F500_T1</t>
  </si>
  <si>
    <t>KTADev_randomaccess_jvet10_SEIDecodedPictureHash=1_SEIDecodedPictureHash=1_SEIDecodedPictureHash=1_qtbt-test3_ClassF_S04_q0_37_F500_T1</t>
  </si>
  <si>
    <t>KTADev_lowdelay_jvet10_SEIDecodedPictureHash=1_SEIDecodedPictureHash=1_SEIDecodedPictureHash=1_qtbt-test3_ClassA1_S01_q0_22_F294_T1</t>
  </si>
  <si>
    <t>KTADev_lowdelay_jvet10_SEIDecodedPictureHash=1_SEIDecodedPictureHash=1_SEIDecodedPictureHash=1_qtbt-test3_ClassA1_S01_q0_27_F294_T1</t>
  </si>
  <si>
    <t>KTADev_lowdelay_jvet10_SEIDecodedPictureHash=1_SEIDecodedPictureHash=1_SEIDecodedPictureHash=1_qtbt-test3_ClassA1_S01_q0_32_F294_T1</t>
  </si>
  <si>
    <t>KTADev_lowdelay_jvet10_SEIDecodedPictureHash=1_SEIDecodedPictureHash=1_SEIDecodedPictureHash=1_qtbt-test3_ClassA1_S01_q0_37_F294_T1</t>
  </si>
  <si>
    <t>KTADev_lowdelay_jvet10_SEIDecodedPictureHash=1_SEIDecodedPictureHash=1_SEIDecodedPictureHash=1_qtbt-test3_ClassA1_S02_q0_22_F300_T1</t>
  </si>
  <si>
    <t>KTADev_lowdelay_jvet10_SEIDecodedPictureHash=1_SEIDecodedPictureHash=1_SEIDecodedPictureHash=1_qtbt-test3_ClassA1_S02_q0_27_F300_T1</t>
  </si>
  <si>
    <t>KTADev_lowdelay_jvet10_SEIDecodedPictureHash=1_SEIDecodedPictureHash=1_SEIDecodedPictureHash=1_qtbt-test3_ClassA1_S02_q0_32_F300_T1</t>
  </si>
  <si>
    <t>KTADev_lowdelay_jvet10_SEIDecodedPictureHash=1_SEIDecodedPictureHash=1_SEIDecodedPictureHash=1_qtbt-test3_ClassA1_S02_q0_37_F300_T1</t>
  </si>
  <si>
    <t>KTADev_lowdelay_jvet10_SEIDecodedPictureHash=1_SEIDecodedPictureHash=1_SEIDecodedPictureHash=1_qtbt-test3_ClassA1_S03_q0_22_F300_T1</t>
  </si>
  <si>
    <t>KTADev_lowdelay_jvet10_SEIDecodedPictureHash=1_SEIDecodedPictureHash=1_SEIDecodedPictureHash=1_qtbt-test3_ClassA1_S03_q0_27_F300_T1</t>
  </si>
  <si>
    <t>KTADev_lowdelay_jvet10_SEIDecodedPictureHash=1_SEIDecodedPictureHash=1_SEIDecodedPictureHash=1_qtbt-test3_ClassA1_S03_q0_32_F300_T1</t>
  </si>
  <si>
    <t>KTADev_lowdelay_jvet10_SEIDecodedPictureHash=1_SEIDecodedPictureHash=1_SEIDecodedPictureHash=1_qtbt-test3_ClassA1_S03_q0_37_F300_T1</t>
  </si>
  <si>
    <t>KTADev_lowdelay_jvet10_SEIDecodedPictureHash=1_SEIDecodedPictureHash=1_SEIDecodedPictureHash=1_qtbt-test3_ClassA1_S04_q0_22_F300_T1</t>
  </si>
  <si>
    <t>KTADev_lowdelay_jvet10_SEIDecodedPictureHash=1_SEIDecodedPictureHash=1_SEIDecodedPictureHash=1_qtbt-test3_ClassA1_S04_q0_27_F300_T1</t>
  </si>
  <si>
    <t>KTADev_lowdelay_jvet10_SEIDecodedPictureHash=1_SEIDecodedPictureHash=1_SEIDecodedPictureHash=1_qtbt-test3_ClassA1_S04_q0_32_F300_T1</t>
  </si>
  <si>
    <t>KTADev_lowdelay_jvet10_SEIDecodedPictureHash=1_SEIDecodedPictureHash=1_SEIDecodedPictureHash=1_qtbt-test3_ClassA1_S04_q0_37_F300_T1</t>
  </si>
  <si>
    <t>KTADev_lowdelay_jvet10_SEIDecodedPictureHash=1_SEIDecodedPictureHash=1_SEIDecodedPictureHash=1_qtbt-test3_ClassA2_S01_q0_22_F300_T1</t>
  </si>
  <si>
    <t>KTADev_lowdelay_jvet10_SEIDecodedPictureHash=1_SEIDecodedPictureHash=1_SEIDecodedPictureHash=1_qtbt-test3_ClassA2_S01_q0_27_F300_T1</t>
  </si>
  <si>
    <t>KTADev_lowdelay_jvet10_SEIDecodedPictureHash=1_SEIDecodedPictureHash=1_SEIDecodedPictureHash=1_qtbt-test3_ClassA2_S01_q0_32_F300_T1</t>
  </si>
  <si>
    <t>KTADev_lowdelay_jvet10_SEIDecodedPictureHash=1_SEIDecodedPictureHash=1_SEIDecodedPictureHash=1_qtbt-test3_ClassA2_S01_q0_37_F300_T1</t>
  </si>
  <si>
    <t>KTADev_lowdelay_jvet10_SEIDecodedPictureHash=1_SEIDecodedPictureHash=1_SEIDecodedPictureHash=1_qtbt-test3_ClassA2_S02_q0_22_F300_T1</t>
  </si>
  <si>
    <t>KTADev_lowdelay_jvet10_SEIDecodedPictureHash=1_SEIDecodedPictureHash=1_SEIDecodedPictureHash=1_qtbt-test3_ClassA2_S02_q0_27_F300_T1</t>
  </si>
  <si>
    <t>KTADev_lowdelay_jvet10_SEIDecodedPictureHash=1_SEIDecodedPictureHash=1_SEIDecodedPictureHash=1_qtbt-test3_ClassA2_S02_q0_32_F300_T1</t>
  </si>
  <si>
    <t>KTADev_lowdelay_jvet10_SEIDecodedPictureHash=1_SEIDecodedPictureHash=1_SEIDecodedPictureHash=1_qtbt-test3_ClassA2_S02_q0_37_F300_T1</t>
  </si>
  <si>
    <t>KTADev_lowdelay_jvet10_SEIDecodedPictureHash=1_SEIDecodedPictureHash=1_SEIDecodedPictureHash=1_qtbt-test3_ClassA2_S03_q0_22_F300_T1</t>
  </si>
  <si>
    <t>KTADev_lowdelay_jvet10_SEIDecodedPictureHash=1_SEIDecodedPictureHash=1_SEIDecodedPictureHash=1_qtbt-test3_ClassA2_S03_q0_27_F300_T1</t>
  </si>
  <si>
    <t>KTADev_lowdelay_jvet10_SEIDecodedPictureHash=1_SEIDecodedPictureHash=1_SEIDecodedPictureHash=1_qtbt-test3_ClassA2_S03_q0_32_F300_T1</t>
  </si>
  <si>
    <t>KTADev_lowdelay_jvet10_SEIDecodedPictureHash=1_SEIDecodedPictureHash=1_SEIDecodedPictureHash=1_qtbt-test3_ClassA2_S03_q0_37_F300_T1</t>
  </si>
  <si>
    <t>KTADev_lowdelay_jvet10_SEIDecodedPictureHash=1_SEIDecodedPictureHash=1_SEIDecodedPictureHash=1_qtbt-test3_ClassA2_S04_q0_22_F300_T1</t>
  </si>
  <si>
    <t>KTADev_lowdelay_jvet10_SEIDecodedPictureHash=1_SEIDecodedPictureHash=1_SEIDecodedPictureHash=1_qtbt-test3_ClassA2_S04_q0_27_F300_T1</t>
  </si>
  <si>
    <t>KTADev_lowdelay_jvet10_SEIDecodedPictureHash=1_SEIDecodedPictureHash=1_SEIDecodedPictureHash=1_qtbt-test3_ClassA2_S04_q0_32_F300_T1</t>
  </si>
  <si>
    <t>KTADev_lowdelay_jvet10_SEIDecodedPictureHash=1_SEIDecodedPictureHash=1_SEIDecodedPictureHash=1_qtbt-test3_ClassA2_S04_q0_37_F300_T1</t>
  </si>
  <si>
    <t>KTADev_lowdelay_jvet10_SEIDecodedPictureHash=1_SEIDecodedPictureHash=1_SEIDecodedPictureHash=1_qtbt-test3_ClassB_S01_q0_22_F240_T1</t>
  </si>
  <si>
    <t>KTADev_lowdelay_jvet10_SEIDecodedPictureHash=1_SEIDecodedPictureHash=1_SEIDecodedPictureHash=1_qtbt-test3_ClassB_S01_q0_27_F240_T1</t>
  </si>
  <si>
    <t>KTADev_lowdelay_jvet10_SEIDecodedPictureHash=1_SEIDecodedPictureHash=1_SEIDecodedPictureHash=1_qtbt-test3_ClassB_S01_q0_32_F240_T1</t>
  </si>
  <si>
    <t>KTADev_lowdelay_jvet10_SEIDecodedPictureHash=1_SEIDecodedPictureHash=1_SEIDecodedPictureHash=1_qtbt-test3_ClassB_S01_q0_37_F240_T1</t>
  </si>
  <si>
    <t>KTADev_lowdelay_jvet10_SEIDecodedPictureHash=1_SEIDecodedPictureHash=1_SEIDecodedPictureHash=1_qtbt-test3_ClassB_S02_q0_22_F240_T1</t>
  </si>
  <si>
    <t>KTADev_lowdelay_jvet10_SEIDecodedPictureHash=1_SEIDecodedPictureHash=1_SEIDecodedPictureHash=1_qtbt-test3_ClassB_S02_q0_27_F240_T1</t>
  </si>
  <si>
    <t>KTADev_lowdelay_jvet10_SEIDecodedPictureHash=1_SEIDecodedPictureHash=1_SEIDecodedPictureHash=1_qtbt-test3_ClassB_S02_q0_32_F240_T1</t>
  </si>
  <si>
    <t>KTADev_lowdelay_jvet10_SEIDecodedPictureHash=1_SEIDecodedPictureHash=1_SEIDecodedPictureHash=1_qtbt-test3_ClassB_S02_q0_37_F240_T1</t>
  </si>
  <si>
    <t>KTADev_lowdelay_jvet10_SEIDecodedPictureHash=1_SEIDecodedPictureHash=1_SEIDecodedPictureHash=1_qtbt-test3_ClassB_S03_q0_22_F500_T1</t>
  </si>
  <si>
    <t>KTADev_lowdelay_jvet10_SEIDecodedPictureHash=1_SEIDecodedPictureHash=1_SEIDecodedPictureHash=1_qtbt-test3_ClassB_S03_q0_27_F500_T1</t>
  </si>
  <si>
    <t>KTADev_lowdelay_jvet10_SEIDecodedPictureHash=1_SEIDecodedPictureHash=1_SEIDecodedPictureHash=1_qtbt-test3_ClassB_S03_q0_32_F500_T1</t>
  </si>
  <si>
    <t>KTADev_lowdelay_jvet10_SEIDecodedPictureHash=1_SEIDecodedPictureHash=1_SEIDecodedPictureHash=1_qtbt-test3_ClassB_S03_q0_37_F500_T1</t>
  </si>
  <si>
    <t>KTADev_lowdelay_jvet10_SEIDecodedPictureHash=1_SEIDecodedPictureHash=1_SEIDecodedPictureHash=1_qtbt-test3_ClassB_S04_q0_22_F500_T1</t>
  </si>
  <si>
    <t>KTADev_lowdelay_jvet10_SEIDecodedPictureHash=1_SEIDecodedPictureHash=1_SEIDecodedPictureHash=1_qtbt-test3_ClassB_S04_q0_27_F500_T1</t>
  </si>
  <si>
    <t>KTADev_lowdelay_jvet10_SEIDecodedPictureHash=1_SEIDecodedPictureHash=1_SEIDecodedPictureHash=1_qtbt-test3_ClassB_S04_q0_32_F500_T1</t>
  </si>
  <si>
    <t>KTADev_lowdelay_jvet10_SEIDecodedPictureHash=1_SEIDecodedPictureHash=1_SEIDecodedPictureHash=1_qtbt-test3_ClassB_S04_q0_37_F500_T1</t>
  </si>
  <si>
    <t>KTADev_lowdelay_jvet10_SEIDecodedPictureHash=1_SEIDecodedPictureHash=1_SEIDecodedPictureHash=1_qtbt-test3_ClassB_S05_q0_22_F600_T1</t>
  </si>
  <si>
    <t>KTADev_lowdelay_jvet10_SEIDecodedPictureHash=1_SEIDecodedPictureHash=1_SEIDecodedPictureHash=1_qtbt-test3_ClassB_S05_q0_27_F600_T1</t>
  </si>
  <si>
    <t>KTADev_lowdelay_jvet10_SEIDecodedPictureHash=1_SEIDecodedPictureHash=1_SEIDecodedPictureHash=1_qtbt-test3_ClassB_S05_q0_32_F600_T1</t>
  </si>
  <si>
    <t>KTADev_lowdelay_jvet10_SEIDecodedPictureHash=1_SEIDecodedPictureHash=1_SEIDecodedPictureHash=1_qtbt-test3_ClassB_S05_q0_37_F600_T1</t>
  </si>
  <si>
    <t>KTADev_lowdelay_jvet10_SEIDecodedPictureHash=1_SEIDecodedPictureHash=1_SEIDecodedPictureHash=1_qtbt-test3_ClassC_S01_q0_22_F500_T1</t>
  </si>
  <si>
    <t>KTADev_lowdelay_jvet10_SEIDecodedPictureHash=1_SEIDecodedPictureHash=1_SEIDecodedPictureHash=1_qtbt-test3_ClassC_S01_q0_27_F500_T1</t>
  </si>
  <si>
    <t>KTADev_lowdelay_jvet10_SEIDecodedPictureHash=1_SEIDecodedPictureHash=1_SEIDecodedPictureHash=1_qtbt-test3_ClassC_S01_q0_32_F500_T1</t>
  </si>
  <si>
    <t>KTADev_lowdelay_jvet10_SEIDecodedPictureHash=1_SEIDecodedPictureHash=1_SEIDecodedPictureHash=1_qtbt-test3_ClassC_S01_q0_37_F500_T1</t>
  </si>
  <si>
    <t>KTADev_lowdelay_jvet10_SEIDecodedPictureHash=1_SEIDecodedPictureHash=1_SEIDecodedPictureHash=1_qtbt-test3_ClassC_S02_q0_22_F600_T1</t>
  </si>
  <si>
    <t>KTADev_lowdelay_jvet10_SEIDecodedPictureHash=1_SEIDecodedPictureHash=1_SEIDecodedPictureHash=1_qtbt-test3_ClassC_S02_q0_27_F600_T1</t>
  </si>
  <si>
    <t>KTADev_lowdelay_jvet10_SEIDecodedPictureHash=1_SEIDecodedPictureHash=1_SEIDecodedPictureHash=1_qtbt-test3_ClassC_S02_q0_32_F600_T1</t>
  </si>
  <si>
    <t>KTADev_lowdelay_jvet10_SEIDecodedPictureHash=1_SEIDecodedPictureHash=1_SEIDecodedPictureHash=1_qtbt-test3_ClassC_S02_q0_37_F600_T1</t>
  </si>
  <si>
    <t>KTADev_lowdelay_jvet10_SEIDecodedPictureHash=1_SEIDecodedPictureHash=1_SEIDecodedPictureHash=1_qtbt-test3_ClassC_S03_q0_22_F500_T1</t>
  </si>
  <si>
    <t>KTADev_lowdelay_jvet10_SEIDecodedPictureHash=1_SEIDecodedPictureHash=1_SEIDecodedPictureHash=1_qtbt-test3_ClassC_S03_q0_27_F500_T1</t>
  </si>
  <si>
    <t>KTADev_lowdelay_jvet10_SEIDecodedPictureHash=1_SEIDecodedPictureHash=1_SEIDecodedPictureHash=1_qtbt-test3_ClassC_S03_q0_32_F500_T1</t>
  </si>
  <si>
    <t>KTADev_lowdelay_jvet10_SEIDecodedPictureHash=1_SEIDecodedPictureHash=1_SEIDecodedPictureHash=1_qtbt-test3_ClassC_S03_q0_37_F500_T1</t>
  </si>
  <si>
    <t>KTADev_lowdelay_jvet10_SEIDecodedPictureHash=1_SEIDecodedPictureHash=1_SEIDecodedPictureHash=1_qtbt-test3_ClassC_S04_q0_22_F300_T1</t>
  </si>
  <si>
    <t>KTADev_lowdelay_jvet10_SEIDecodedPictureHash=1_SEIDecodedPictureHash=1_SEIDecodedPictureHash=1_qtbt-test3_ClassC_S04_q0_27_F300_T1</t>
  </si>
  <si>
    <t>KTADev_lowdelay_jvet10_SEIDecodedPictureHash=1_SEIDecodedPictureHash=1_SEIDecodedPictureHash=1_qtbt-test3_ClassC_S04_q0_32_F300_T1</t>
  </si>
  <si>
    <t>KTADev_lowdelay_jvet10_SEIDecodedPictureHash=1_SEIDecodedPictureHash=1_SEIDecodedPictureHash=1_qtbt-test3_ClassC_S04_q0_37_F300_T1</t>
  </si>
  <si>
    <t>KTADev_lowdelay_jvet10_SEIDecodedPictureHash=1_SEIDecodedPictureHash=1_SEIDecodedPictureHash=1_qtbt-test3_ClassD_S01_q0_22_F500_T1</t>
  </si>
  <si>
    <t>KTADev_lowdelay_jvet10_SEIDecodedPictureHash=1_SEIDecodedPictureHash=1_SEIDecodedPictureHash=1_qtbt-test3_ClassD_S01_q0_27_F500_T1</t>
  </si>
  <si>
    <t>KTADev_lowdelay_jvet10_SEIDecodedPictureHash=1_SEIDecodedPictureHash=1_SEIDecodedPictureHash=1_qtbt-test3_ClassD_S01_q0_32_F500_T1</t>
  </si>
  <si>
    <t>KTADev_lowdelay_jvet10_SEIDecodedPictureHash=1_SEIDecodedPictureHash=1_SEIDecodedPictureHash=1_qtbt-test3_ClassD_S01_q0_37_F500_T1</t>
  </si>
  <si>
    <t>KTADev_lowdelay_jvet10_SEIDecodedPictureHash=1_SEIDecodedPictureHash=1_SEIDecodedPictureHash=1_qtbt-test3_ClassD_S02_q0_22_F600_T1</t>
  </si>
  <si>
    <t>KTADev_lowdelay_jvet10_SEIDecodedPictureHash=1_SEIDecodedPictureHash=1_SEIDecodedPictureHash=1_qtbt-test3_ClassD_S02_q0_27_F600_T1</t>
  </si>
  <si>
    <t>KTADev_lowdelay_jvet10_SEIDecodedPictureHash=1_SEIDecodedPictureHash=1_SEIDecodedPictureHash=1_qtbt-test3_ClassD_S02_q0_32_F600_T1</t>
  </si>
  <si>
    <t>KTADev_lowdelay_jvet10_SEIDecodedPictureHash=1_SEIDecodedPictureHash=1_SEIDecodedPictureHash=1_qtbt-test3_ClassD_S02_q0_37_F600_T1</t>
  </si>
  <si>
    <t>KTADev_lowdelay_jvet10_SEIDecodedPictureHash=1_SEIDecodedPictureHash=1_SEIDecodedPictureHash=1_qtbt-test3_ClassD_S03_q0_22_F500_T1</t>
  </si>
  <si>
    <t>KTADev_lowdelay_jvet10_SEIDecodedPictureHash=1_SEIDecodedPictureHash=1_SEIDecodedPictureHash=1_qtbt-test3_ClassD_S03_q0_27_F500_T1</t>
  </si>
  <si>
    <t>KTADev_lowdelay_jvet10_SEIDecodedPictureHash=1_SEIDecodedPictureHash=1_SEIDecodedPictureHash=1_qtbt-test3_ClassD_S03_q0_32_F500_T1</t>
  </si>
  <si>
    <t>KTADev_lowdelay_jvet10_SEIDecodedPictureHash=1_SEIDecodedPictureHash=1_SEIDecodedPictureHash=1_qtbt-test3_ClassD_S03_q0_37_F500_T1</t>
  </si>
  <si>
    <t>KTADev_lowdelay_jvet10_SEIDecodedPictureHash=1_SEIDecodedPictureHash=1_SEIDecodedPictureHash=1_qtbt-test3_ClassD_S04_q0_22_F300_T1</t>
  </si>
  <si>
    <t>KTADev_lowdelay_jvet10_SEIDecodedPictureHash=1_SEIDecodedPictureHash=1_SEIDecodedPictureHash=1_qtbt-test3_ClassD_S04_q0_27_F300_T1</t>
  </si>
  <si>
    <t>KTADev_lowdelay_jvet10_SEIDecodedPictureHash=1_SEIDecodedPictureHash=1_SEIDecodedPictureHash=1_qtbt-test3_ClassD_S04_q0_32_F300_T1</t>
  </si>
  <si>
    <t>KTADev_lowdelay_jvet10_SEIDecodedPictureHash=1_SEIDecodedPictureHash=1_SEIDecodedPictureHash=1_qtbt-test3_ClassD_S04_q0_37_F300_T1</t>
  </si>
  <si>
    <t>KTADev_lowdelay_jvet10_SEIDecodedPictureHash=1_SEIDecodedPictureHash=1_SEIDecodedPictureHash=1_qtbt-test3_ClassE_S01_q0_22_F600_T1</t>
  </si>
  <si>
    <t>KTADev_lowdelay_jvet10_SEIDecodedPictureHash=1_SEIDecodedPictureHash=1_SEIDecodedPictureHash=1_qtbt-test3_ClassE_S01_q0_27_F600_T1</t>
  </si>
  <si>
    <t>KTADev_lowdelay_jvet10_SEIDecodedPictureHash=1_SEIDecodedPictureHash=1_SEIDecodedPictureHash=1_qtbt-test3_ClassE_S01_q0_32_F600_T1</t>
  </si>
  <si>
    <t>KTADev_lowdelay_jvet10_SEIDecodedPictureHash=1_SEIDecodedPictureHash=1_SEIDecodedPictureHash=1_qtbt-test3_ClassE_S01_q0_37_F600_T1</t>
  </si>
  <si>
    <t>KTADev_lowdelay_jvet10_SEIDecodedPictureHash=1_SEIDecodedPictureHash=1_SEIDecodedPictureHash=1_qtbt-test3_ClassE_S02_q0_22_F600_T1</t>
  </si>
  <si>
    <t>KTADev_lowdelay_jvet10_SEIDecodedPictureHash=1_SEIDecodedPictureHash=1_SEIDecodedPictureHash=1_qtbt-test3_ClassE_S02_q0_27_F600_T1</t>
  </si>
  <si>
    <t>KTADev_lowdelay_jvet10_SEIDecodedPictureHash=1_SEIDecodedPictureHash=1_SEIDecodedPictureHash=1_qtbt-test3_ClassE_S02_q0_32_F600_T1</t>
  </si>
  <si>
    <t>KTADev_lowdelay_jvet10_SEIDecodedPictureHash=1_SEIDecodedPictureHash=1_SEIDecodedPictureHash=1_qtbt-test3_ClassE_S02_q0_37_F600_T1</t>
  </si>
  <si>
    <t>KTADev_lowdelay_jvet10_SEIDecodedPictureHash=1_SEIDecodedPictureHash=1_SEIDecodedPictureHash=1_qtbt-test3_ClassE_S03_q0_22_F600_T1</t>
  </si>
  <si>
    <t>KTADev_lowdelay_jvet10_SEIDecodedPictureHash=1_SEIDecodedPictureHash=1_SEIDecodedPictureHash=1_qtbt-test3_ClassE_S03_q0_27_F600_T1</t>
  </si>
  <si>
    <t>KTADev_lowdelay_jvet10_SEIDecodedPictureHash=1_SEIDecodedPictureHash=1_SEIDecodedPictureHash=1_qtbt-test3_ClassE_S03_q0_32_F600_T1</t>
  </si>
  <si>
    <t>KTADev_lowdelay_jvet10_SEIDecodedPictureHash=1_SEIDecodedPictureHash=1_SEIDecodedPictureHash=1_qtbt-test3_ClassE_S03_q0_37_F600_T1</t>
  </si>
  <si>
    <t>KTADev_lowdelay_jvet10_SEIDecodedPictureHash=1_SEIDecodedPictureHash=1_SEIDecodedPictureHash=1_qtbt-test3_ClassF_S01_q0_22_F500_T1</t>
  </si>
  <si>
    <t>KTADev_lowdelay_jvet10_SEIDecodedPictureHash=1_SEIDecodedPictureHash=1_SEIDecodedPictureHash=1_qtbt-test3_ClassF_S01_q0_27_F500_T1</t>
  </si>
  <si>
    <t>KTADev_lowdelay_jvet10_SEIDecodedPictureHash=1_SEIDecodedPictureHash=1_SEIDecodedPictureHash=1_qtbt-test3_ClassF_S01_q0_32_F500_T1</t>
  </si>
  <si>
    <t>KTADev_lowdelay_jvet10_SEIDecodedPictureHash=1_SEIDecodedPictureHash=1_SEIDecodedPictureHash=1_qtbt-test3_ClassF_S01_q0_37_F500_T1</t>
  </si>
  <si>
    <t>KTADev_lowdelay_jvet10_SEIDecodedPictureHash=1_SEIDecodedPictureHash=1_SEIDecodedPictureHash=1_qtbt-test3_ClassF_S02_q0_22_F500_T1</t>
  </si>
  <si>
    <t>KTADev_lowdelay_jvet10_SEIDecodedPictureHash=1_SEIDecodedPictureHash=1_SEIDecodedPictureHash=1_qtbt-test3_ClassF_S02_q0_27_F500_T1</t>
  </si>
  <si>
    <t>KTADev_lowdelay_jvet10_SEIDecodedPictureHash=1_SEIDecodedPictureHash=1_SEIDecodedPictureHash=1_qtbt-test3_ClassF_S02_q0_32_F500_T1</t>
  </si>
  <si>
    <t>KTADev_lowdelay_jvet10_SEIDecodedPictureHash=1_SEIDecodedPictureHash=1_SEIDecodedPictureHash=1_qtbt-test3_ClassF_S02_q0_37_F500_T1</t>
  </si>
  <si>
    <t>KTADev_lowdelay_jvet10_SEIDecodedPictureHash=1_SEIDecodedPictureHash=1_SEIDecodedPictureHash=1_qtbt-test3_ClassF_S03_q0_22_F300_T1</t>
  </si>
  <si>
    <t>KTADev_lowdelay_jvet10_SEIDecodedPictureHash=1_SEIDecodedPictureHash=1_SEIDecodedPictureHash=1_qtbt-test3_ClassF_S03_q0_27_F300_T1</t>
  </si>
  <si>
    <t>KTADev_lowdelay_jvet10_SEIDecodedPictureHash=1_SEIDecodedPictureHash=1_SEIDecodedPictureHash=1_qtbt-test3_ClassF_S03_q0_32_F300_T1</t>
  </si>
  <si>
    <t>KTADev_lowdelay_jvet10_SEIDecodedPictureHash=1_SEIDecodedPictureHash=1_SEIDecodedPictureHash=1_qtbt-test3_ClassF_S03_q0_37_F300_T1</t>
  </si>
  <si>
    <t>KTADev_lowdelay_jvet10_SEIDecodedPictureHash=1_SEIDecodedPictureHash=1_SEIDecodedPictureHash=1_qtbt-test3_ClassF_S04_q0_22_F500_T1</t>
  </si>
  <si>
    <t>KTADev_lowdelay_jvet10_SEIDecodedPictureHash=1_SEIDecodedPictureHash=1_SEIDecodedPictureHash=1_qtbt-test3_ClassF_S04_q0_27_F500_T1</t>
  </si>
  <si>
    <t>KTADev_lowdelay_jvet10_SEIDecodedPictureHash=1_SEIDecodedPictureHash=1_SEIDecodedPictureHash=1_qtbt-test3_ClassF_S04_q0_32_F500_T1</t>
  </si>
  <si>
    <t>KTADev_lowdelay_jvet10_SEIDecodedPictureHash=1_SEIDecodedPictureHash=1_SEIDecodedPictureHash=1_qtbt-test3_ClassF_S04_q0_37_F500_T1</t>
  </si>
  <si>
    <t>KTADev_lowdelay_P_jvet10_SEIDecodedPictureHash=1_SEIDecodedPictureHash=1_SEIDecodedPictureHash=1_qtbt-test3_ClassA1_S01_q0_22_F294_T1</t>
  </si>
  <si>
    <t>KTADev_lowdelay_P_jvet10_SEIDecodedPictureHash=1_SEIDecodedPictureHash=1_SEIDecodedPictureHash=1_qtbt-test3_ClassA1_S01_q0_27_F294_T1</t>
  </si>
  <si>
    <t>KTADev_lowdelay_P_jvet10_SEIDecodedPictureHash=1_SEIDecodedPictureHash=1_SEIDecodedPictureHash=1_qtbt-test3_ClassA1_S01_q0_32_F294_T1</t>
  </si>
  <si>
    <t>KTADev_lowdelay_P_jvet10_SEIDecodedPictureHash=1_SEIDecodedPictureHash=1_SEIDecodedPictureHash=1_qtbt-test3_ClassA1_S01_q0_37_F294_T1</t>
  </si>
  <si>
    <t>KTADev_lowdelay_P_jvet10_SEIDecodedPictureHash=1_SEIDecodedPictureHash=1_SEIDecodedPictureHash=1_qtbt-test3_ClassA1_S02_q0_22_F300_T1</t>
  </si>
  <si>
    <t>KTADev_lowdelay_P_jvet10_SEIDecodedPictureHash=1_SEIDecodedPictureHash=1_SEIDecodedPictureHash=1_qtbt-test3_ClassA1_S02_q0_27_F300_T1</t>
  </si>
  <si>
    <t>KTADev_lowdelay_P_jvet10_SEIDecodedPictureHash=1_SEIDecodedPictureHash=1_SEIDecodedPictureHash=1_qtbt-test3_ClassA1_S02_q0_32_F300_T1</t>
  </si>
  <si>
    <t>KTADev_lowdelay_P_jvet10_SEIDecodedPictureHash=1_SEIDecodedPictureHash=1_SEIDecodedPictureHash=1_qtbt-test3_ClassA1_S02_q0_37_F300_T1</t>
  </si>
  <si>
    <t>KTADev_lowdelay_P_jvet10_SEIDecodedPictureHash=1_SEIDecodedPictureHash=1_SEIDecodedPictureHash=1_qtbt-test3_ClassA1_S03_q0_22_F300_T1</t>
  </si>
  <si>
    <t>KTADev_lowdelay_P_jvet10_SEIDecodedPictureHash=1_SEIDecodedPictureHash=1_SEIDecodedPictureHash=1_qtbt-test3_ClassA1_S03_q0_27_F300_T1</t>
  </si>
  <si>
    <t>KTADev_lowdelay_P_jvet10_SEIDecodedPictureHash=1_SEIDecodedPictureHash=1_SEIDecodedPictureHash=1_qtbt-test3_ClassA1_S03_q0_32_F300_T1</t>
  </si>
  <si>
    <t>KTADev_lowdelay_P_jvet10_SEIDecodedPictureHash=1_SEIDecodedPictureHash=1_SEIDecodedPictureHash=1_qtbt-test3_ClassA1_S03_q0_37_F300_T1</t>
  </si>
  <si>
    <t>KTADev_lowdelay_P_jvet10_SEIDecodedPictureHash=1_SEIDecodedPictureHash=1_SEIDecodedPictureHash=1_qtbt-test3_ClassA1_S04_q0_22_F300_T1</t>
  </si>
  <si>
    <t>KTADev_lowdelay_P_jvet10_SEIDecodedPictureHash=1_SEIDecodedPictureHash=1_SEIDecodedPictureHash=1_qtbt-test3_ClassA1_S04_q0_27_F300_T1</t>
  </si>
  <si>
    <t>KTADev_lowdelay_P_jvet10_SEIDecodedPictureHash=1_SEIDecodedPictureHash=1_SEIDecodedPictureHash=1_qtbt-test3_ClassA1_S04_q0_32_F300_T1</t>
  </si>
  <si>
    <t>KTADev_lowdelay_P_jvet10_SEIDecodedPictureHash=1_SEIDecodedPictureHash=1_SEIDecodedPictureHash=1_qtbt-test3_ClassA1_S04_q0_37_F300_T1</t>
  </si>
  <si>
    <t>KTADev_lowdelay_P_jvet10_SEIDecodedPictureHash=1_SEIDecodedPictureHash=1_SEIDecodedPictureHash=1_qtbt-test3_ClassA2_S01_q0_22_F300_T1</t>
  </si>
  <si>
    <t>KTADev_lowdelay_P_jvet10_SEIDecodedPictureHash=1_SEIDecodedPictureHash=1_SEIDecodedPictureHash=1_qtbt-test3_ClassA2_S01_q0_27_F300_T1</t>
  </si>
  <si>
    <t>KTADev_lowdelay_P_jvet10_SEIDecodedPictureHash=1_SEIDecodedPictureHash=1_SEIDecodedPictureHash=1_qtbt-test3_ClassA2_S01_q0_32_F300_T1</t>
  </si>
  <si>
    <t>KTADev_lowdelay_P_jvet10_SEIDecodedPictureHash=1_SEIDecodedPictureHash=1_SEIDecodedPictureHash=1_qtbt-test3_ClassA2_S01_q0_37_F300_T1</t>
  </si>
  <si>
    <t>KTADev_lowdelay_P_jvet10_SEIDecodedPictureHash=1_SEIDecodedPictureHash=1_SEIDecodedPictureHash=1_qtbt-test3_ClassA2_S02_q0_22_F300_T1</t>
  </si>
  <si>
    <t>KTADev_lowdelay_P_jvet10_SEIDecodedPictureHash=1_SEIDecodedPictureHash=1_SEIDecodedPictureHash=1_qtbt-test3_ClassA2_S02_q0_27_F300_T1</t>
  </si>
  <si>
    <t>KTADev_lowdelay_P_jvet10_SEIDecodedPictureHash=1_SEIDecodedPictureHash=1_SEIDecodedPictureHash=1_qtbt-test3_ClassA2_S02_q0_32_F300_T1</t>
  </si>
  <si>
    <t>KTADev_lowdelay_P_jvet10_SEIDecodedPictureHash=1_SEIDecodedPictureHash=1_SEIDecodedPictureHash=1_qtbt-test3_ClassA2_S02_q0_37_F300_T1</t>
  </si>
  <si>
    <t>KTADev_lowdelay_P_jvet10_SEIDecodedPictureHash=1_SEIDecodedPictureHash=1_SEIDecodedPictureHash=1_qtbt-test3_ClassA2_S03_q0_22_F300_T1</t>
  </si>
  <si>
    <t>KTADev_lowdelay_P_jvet10_SEIDecodedPictureHash=1_SEIDecodedPictureHash=1_SEIDecodedPictureHash=1_qtbt-test3_ClassA2_S03_q0_27_F300_T1</t>
  </si>
  <si>
    <t>KTADev_lowdelay_P_jvet10_SEIDecodedPictureHash=1_SEIDecodedPictureHash=1_SEIDecodedPictureHash=1_qtbt-test3_ClassA2_S03_q0_32_F300_T1</t>
  </si>
  <si>
    <t>KTADev_lowdelay_P_jvet10_SEIDecodedPictureHash=1_SEIDecodedPictureHash=1_SEIDecodedPictureHash=1_qtbt-test3_ClassA2_S03_q0_37_F300_T1</t>
  </si>
  <si>
    <t>KTADev_lowdelay_P_jvet10_SEIDecodedPictureHash=1_SEIDecodedPictureHash=1_SEIDecodedPictureHash=1_qtbt-test3_ClassA2_S04_q0_22_F300_T1</t>
  </si>
  <si>
    <t>KTADev_lowdelay_P_jvet10_SEIDecodedPictureHash=1_SEIDecodedPictureHash=1_SEIDecodedPictureHash=1_qtbt-test3_ClassA2_S04_q0_27_F300_T1</t>
  </si>
  <si>
    <t>KTADev_lowdelay_P_jvet10_SEIDecodedPictureHash=1_SEIDecodedPictureHash=1_SEIDecodedPictureHash=1_qtbt-test3_ClassA2_S04_q0_32_F300_T1</t>
  </si>
  <si>
    <t>KTADev_lowdelay_P_jvet10_SEIDecodedPictureHash=1_SEIDecodedPictureHash=1_SEIDecodedPictureHash=1_qtbt-test3_ClassA2_S04_q0_37_F300_T1</t>
  </si>
  <si>
    <t>KTADev_lowdelay_P_jvet10_SEIDecodedPictureHash=1_SEIDecodedPictureHash=1_SEIDecodedPictureHash=1_qtbt-test3_ClassB_S01_q0_22_F240_T1</t>
  </si>
  <si>
    <t>KTADev_lowdelay_P_jvet10_SEIDecodedPictureHash=1_SEIDecodedPictureHash=1_SEIDecodedPictureHash=1_qtbt-test3_ClassB_S01_q0_27_F240_T1</t>
  </si>
  <si>
    <t>KTADev_lowdelay_P_jvet10_SEIDecodedPictureHash=1_SEIDecodedPictureHash=1_SEIDecodedPictureHash=1_qtbt-test3_ClassB_S01_q0_32_F240_T1</t>
  </si>
  <si>
    <t>KTADev_lowdelay_P_jvet10_SEIDecodedPictureHash=1_SEIDecodedPictureHash=1_SEIDecodedPictureHash=1_qtbt-test3_ClassB_S01_q0_37_F240_T1</t>
  </si>
  <si>
    <t>KTADev_lowdelay_P_jvet10_SEIDecodedPictureHash=1_SEIDecodedPictureHash=1_SEIDecodedPictureHash=1_qtbt-test3_ClassB_S02_q0_22_F240_T1</t>
  </si>
  <si>
    <t>KTADev_lowdelay_P_jvet10_SEIDecodedPictureHash=1_SEIDecodedPictureHash=1_SEIDecodedPictureHash=1_qtbt-test3_ClassB_S02_q0_27_F240_T1</t>
  </si>
  <si>
    <t>KTADev_lowdelay_P_jvet10_SEIDecodedPictureHash=1_SEIDecodedPictureHash=1_SEIDecodedPictureHash=1_qtbt-test3_ClassB_S02_q0_32_F240_T1</t>
  </si>
  <si>
    <t>KTADev_lowdelay_P_jvet10_SEIDecodedPictureHash=1_SEIDecodedPictureHash=1_SEIDecodedPictureHash=1_qtbt-test3_ClassB_S02_q0_37_F240_T1</t>
  </si>
  <si>
    <t>KTADev_lowdelay_P_jvet10_SEIDecodedPictureHash=1_SEIDecodedPictureHash=1_SEIDecodedPictureHash=1_qtbt-test3_ClassB_S03_q0_22_F500_T1</t>
  </si>
  <si>
    <t>KTADev_lowdelay_P_jvet10_SEIDecodedPictureHash=1_SEIDecodedPictureHash=1_SEIDecodedPictureHash=1_qtbt-test3_ClassB_S03_q0_27_F500_T1</t>
  </si>
  <si>
    <t>KTADev_lowdelay_P_jvet10_SEIDecodedPictureHash=1_SEIDecodedPictureHash=1_SEIDecodedPictureHash=1_qtbt-test3_ClassB_S03_q0_32_F500_T1</t>
  </si>
  <si>
    <t>KTADev_lowdelay_P_jvet10_SEIDecodedPictureHash=1_SEIDecodedPictureHash=1_SEIDecodedPictureHash=1_qtbt-test3_ClassB_S03_q0_37_F500_T1</t>
  </si>
  <si>
    <t>KTADev_lowdelay_P_jvet10_SEIDecodedPictureHash=1_SEIDecodedPictureHash=1_SEIDecodedPictureHash=1_qtbt-test3_ClassB_S04_q0_22_F500_T1</t>
  </si>
  <si>
    <t>KTADev_lowdelay_P_jvet10_SEIDecodedPictureHash=1_SEIDecodedPictureHash=1_SEIDecodedPictureHash=1_qtbt-test3_ClassB_S04_q0_27_F500_T1</t>
  </si>
  <si>
    <t>KTADev_lowdelay_P_jvet10_SEIDecodedPictureHash=1_SEIDecodedPictureHash=1_SEIDecodedPictureHash=1_qtbt-test3_ClassB_S04_q0_32_F500_T1</t>
  </si>
  <si>
    <t>KTADev_lowdelay_P_jvet10_SEIDecodedPictureHash=1_SEIDecodedPictureHash=1_SEIDecodedPictureHash=1_qtbt-test3_ClassB_S04_q0_37_F500_T1</t>
  </si>
  <si>
    <t>KTADev_lowdelay_P_jvet10_SEIDecodedPictureHash=1_SEIDecodedPictureHash=1_SEIDecodedPictureHash=1_qtbt-test3_ClassB_S05_q0_22_F600_T1</t>
  </si>
  <si>
    <t>KTADev_lowdelay_P_jvet10_SEIDecodedPictureHash=1_SEIDecodedPictureHash=1_SEIDecodedPictureHash=1_qtbt-test3_ClassB_S05_q0_27_F600_T1</t>
  </si>
  <si>
    <t>KTADev_lowdelay_P_jvet10_SEIDecodedPictureHash=1_SEIDecodedPictureHash=1_SEIDecodedPictureHash=1_qtbt-test3_ClassB_S05_q0_32_F600_T1</t>
  </si>
  <si>
    <t>KTADev_lowdelay_P_jvet10_SEIDecodedPictureHash=1_SEIDecodedPictureHash=1_SEIDecodedPictureHash=1_qtbt-test3_ClassB_S05_q0_37_F600_T1</t>
  </si>
  <si>
    <t>KTADev_lowdelay_P_jvet10_SEIDecodedPictureHash=1_SEIDecodedPictureHash=1_SEIDecodedPictureHash=1_qtbt-test3_ClassC_S01_q0_22_F500_T1</t>
  </si>
  <si>
    <t>KTADev_lowdelay_P_jvet10_SEIDecodedPictureHash=1_SEIDecodedPictureHash=1_SEIDecodedPictureHash=1_qtbt-test3_ClassC_S01_q0_27_F500_T1</t>
  </si>
  <si>
    <t>KTADev_lowdelay_P_jvet10_SEIDecodedPictureHash=1_SEIDecodedPictureHash=1_SEIDecodedPictureHash=1_qtbt-test3_ClassC_S01_q0_32_F500_T1</t>
  </si>
  <si>
    <t>KTADev_lowdelay_P_jvet10_SEIDecodedPictureHash=1_SEIDecodedPictureHash=1_SEIDecodedPictureHash=1_qtbt-test3_ClassC_S01_q0_37_F500_T1</t>
  </si>
  <si>
    <t>KTADev_lowdelay_P_jvet10_SEIDecodedPictureHash=1_SEIDecodedPictureHash=1_SEIDecodedPictureHash=1_qtbt-test3_ClassC_S02_q0_22_F600_T1</t>
  </si>
  <si>
    <t>KTADev_lowdelay_P_jvet10_SEIDecodedPictureHash=1_SEIDecodedPictureHash=1_SEIDecodedPictureHash=1_qtbt-test3_ClassC_S02_q0_27_F600_T1</t>
  </si>
  <si>
    <t>KTADev_lowdelay_P_jvet10_SEIDecodedPictureHash=1_SEIDecodedPictureHash=1_SEIDecodedPictureHash=1_qtbt-test3_ClassC_S02_q0_32_F600_T1</t>
  </si>
  <si>
    <t>KTADev_lowdelay_P_jvet10_SEIDecodedPictureHash=1_SEIDecodedPictureHash=1_SEIDecodedPictureHash=1_qtbt-test3_ClassC_S02_q0_37_F600_T1</t>
  </si>
  <si>
    <t>KTADev_lowdelay_P_jvet10_SEIDecodedPictureHash=1_SEIDecodedPictureHash=1_SEIDecodedPictureHash=1_qtbt-test3_ClassC_S03_q0_22_F500_T1</t>
  </si>
  <si>
    <t>KTADev_lowdelay_P_jvet10_SEIDecodedPictureHash=1_SEIDecodedPictureHash=1_SEIDecodedPictureHash=1_qtbt-test3_ClassC_S03_q0_27_F500_T1</t>
  </si>
  <si>
    <t>KTADev_lowdelay_P_jvet10_SEIDecodedPictureHash=1_SEIDecodedPictureHash=1_SEIDecodedPictureHash=1_qtbt-test3_ClassC_S03_q0_32_F500_T1</t>
  </si>
  <si>
    <t>KTADev_lowdelay_P_jvet10_SEIDecodedPictureHash=1_SEIDecodedPictureHash=1_SEIDecodedPictureHash=1_qtbt-test3_ClassC_S03_q0_37_F500_T1</t>
  </si>
  <si>
    <t>KTADev_lowdelay_P_jvet10_SEIDecodedPictureHash=1_SEIDecodedPictureHash=1_SEIDecodedPictureHash=1_qtbt-test3_ClassC_S04_q0_22_F300_T1</t>
  </si>
  <si>
    <t>KTADev_lowdelay_P_jvet10_SEIDecodedPictureHash=1_SEIDecodedPictureHash=1_SEIDecodedPictureHash=1_qtbt-test3_ClassC_S04_q0_27_F300_T1</t>
  </si>
  <si>
    <t>KTADev_lowdelay_P_jvet10_SEIDecodedPictureHash=1_SEIDecodedPictureHash=1_SEIDecodedPictureHash=1_qtbt-test3_ClassC_S04_q0_32_F300_T1</t>
  </si>
  <si>
    <t>KTADev_lowdelay_P_jvet10_SEIDecodedPictureHash=1_SEIDecodedPictureHash=1_SEIDecodedPictureHash=1_qtbt-test3_ClassC_S04_q0_37_F300_T1</t>
  </si>
  <si>
    <t>KTADev_lowdelay_P_jvet10_SEIDecodedPictureHash=1_SEIDecodedPictureHash=1_SEIDecodedPictureHash=1_qtbt-test3_ClassD_S01_q0_22_F500_T1</t>
  </si>
  <si>
    <t>KTADev_lowdelay_P_jvet10_SEIDecodedPictureHash=1_SEIDecodedPictureHash=1_SEIDecodedPictureHash=1_qtbt-test3_ClassD_S01_q0_27_F500_T1</t>
  </si>
  <si>
    <t>KTADev_lowdelay_P_jvet10_SEIDecodedPictureHash=1_SEIDecodedPictureHash=1_SEIDecodedPictureHash=1_qtbt-test3_ClassD_S01_q0_32_F500_T1</t>
  </si>
  <si>
    <t>KTADev_lowdelay_P_jvet10_SEIDecodedPictureHash=1_SEIDecodedPictureHash=1_SEIDecodedPictureHash=1_qtbt-test3_ClassD_S01_q0_37_F500_T1</t>
  </si>
  <si>
    <t>KTADev_lowdelay_P_jvet10_SEIDecodedPictureHash=1_SEIDecodedPictureHash=1_SEIDecodedPictureHash=1_qtbt-test3_ClassD_S02_q0_22_F600_T1</t>
  </si>
  <si>
    <t>KTADev_lowdelay_P_jvet10_SEIDecodedPictureHash=1_SEIDecodedPictureHash=1_SEIDecodedPictureHash=1_qtbt-test3_ClassD_S02_q0_27_F600_T1</t>
  </si>
  <si>
    <t>KTADev_lowdelay_P_jvet10_SEIDecodedPictureHash=1_SEIDecodedPictureHash=1_SEIDecodedPictureHash=1_qtbt-test3_ClassD_S02_q0_32_F600_T1</t>
  </si>
  <si>
    <t>KTADev_lowdelay_P_jvet10_SEIDecodedPictureHash=1_SEIDecodedPictureHash=1_SEIDecodedPictureHash=1_qtbt-test3_ClassD_S02_q0_37_F600_T1</t>
  </si>
  <si>
    <t>KTADev_lowdelay_P_jvet10_SEIDecodedPictureHash=1_SEIDecodedPictureHash=1_SEIDecodedPictureHash=1_qtbt-test3_ClassD_S03_q0_22_F500_T1</t>
  </si>
  <si>
    <t>KTADev_lowdelay_P_jvet10_SEIDecodedPictureHash=1_SEIDecodedPictureHash=1_SEIDecodedPictureHash=1_qtbt-test3_ClassD_S03_q0_27_F500_T1</t>
  </si>
  <si>
    <t>KTADev_lowdelay_P_jvet10_SEIDecodedPictureHash=1_SEIDecodedPictureHash=1_SEIDecodedPictureHash=1_qtbt-test3_ClassD_S03_q0_32_F500_T1</t>
  </si>
  <si>
    <t>KTADev_lowdelay_P_jvet10_SEIDecodedPictureHash=1_SEIDecodedPictureHash=1_SEIDecodedPictureHash=1_qtbt-test3_ClassD_S03_q0_37_F500_T1</t>
  </si>
  <si>
    <t>KTADev_lowdelay_P_jvet10_SEIDecodedPictureHash=1_SEIDecodedPictureHash=1_SEIDecodedPictureHash=1_qtbt-test3_ClassD_S04_q0_22_F300_T1</t>
  </si>
  <si>
    <t>KTADev_lowdelay_P_jvet10_SEIDecodedPictureHash=1_SEIDecodedPictureHash=1_SEIDecodedPictureHash=1_qtbt-test3_ClassD_S04_q0_27_F300_T1</t>
  </si>
  <si>
    <t>KTADev_lowdelay_P_jvet10_SEIDecodedPictureHash=1_SEIDecodedPictureHash=1_SEIDecodedPictureHash=1_qtbt-test3_ClassD_S04_q0_32_F300_T1</t>
  </si>
  <si>
    <t>KTADev_lowdelay_P_jvet10_SEIDecodedPictureHash=1_SEIDecodedPictureHash=1_SEIDecodedPictureHash=1_qtbt-test3_ClassD_S04_q0_37_F300_T1</t>
  </si>
  <si>
    <t>KTADev_lowdelay_P_jvet10_SEIDecodedPictureHash=1_SEIDecodedPictureHash=1_SEIDecodedPictureHash=1_qtbt-test3_ClassE_S01_q0_22_F600_T1</t>
  </si>
  <si>
    <t>KTADev_lowdelay_P_jvet10_SEIDecodedPictureHash=1_SEIDecodedPictureHash=1_SEIDecodedPictureHash=1_qtbt-test3_ClassE_S01_q0_27_F600_T1</t>
  </si>
  <si>
    <t>KTADev_lowdelay_P_jvet10_SEIDecodedPictureHash=1_SEIDecodedPictureHash=1_SEIDecodedPictureHash=1_qtbt-test3_ClassE_S01_q0_32_F600_T1</t>
  </si>
  <si>
    <t>KTADev_lowdelay_P_jvet10_SEIDecodedPictureHash=1_SEIDecodedPictureHash=1_SEIDecodedPictureHash=1_qtbt-test3_ClassE_S01_q0_37_F600_T1</t>
  </si>
  <si>
    <t>KTADev_lowdelay_P_jvet10_SEIDecodedPictureHash=1_SEIDecodedPictureHash=1_SEIDecodedPictureHash=1_qtbt-test3_ClassE_S02_q0_22_F600_T1</t>
  </si>
  <si>
    <t>KTADev_lowdelay_P_jvet10_SEIDecodedPictureHash=1_SEIDecodedPictureHash=1_SEIDecodedPictureHash=1_qtbt-test3_ClassE_S02_q0_27_F600_T1</t>
  </si>
  <si>
    <t>KTADev_lowdelay_P_jvet10_SEIDecodedPictureHash=1_SEIDecodedPictureHash=1_SEIDecodedPictureHash=1_qtbt-test3_ClassE_S02_q0_32_F600_T1</t>
  </si>
  <si>
    <t>KTADev_lowdelay_P_jvet10_SEIDecodedPictureHash=1_SEIDecodedPictureHash=1_SEIDecodedPictureHash=1_qtbt-test3_ClassE_S02_q0_37_F600_T1</t>
  </si>
  <si>
    <t>KTADev_lowdelay_P_jvet10_SEIDecodedPictureHash=1_SEIDecodedPictureHash=1_SEIDecodedPictureHash=1_qtbt-test3_ClassE_S03_q0_22_F600_T1</t>
  </si>
  <si>
    <t>KTADev_lowdelay_P_jvet10_SEIDecodedPictureHash=1_SEIDecodedPictureHash=1_SEIDecodedPictureHash=1_qtbt-test3_ClassE_S03_q0_27_F600_T1</t>
  </si>
  <si>
    <t>KTADev_lowdelay_P_jvet10_SEIDecodedPictureHash=1_SEIDecodedPictureHash=1_SEIDecodedPictureHash=1_qtbt-test3_ClassE_S03_q0_32_F600_T1</t>
  </si>
  <si>
    <t>KTADev_lowdelay_P_jvet10_SEIDecodedPictureHash=1_SEIDecodedPictureHash=1_SEIDecodedPictureHash=1_qtbt-test3_ClassE_S03_q0_37_F600_T1</t>
  </si>
  <si>
    <t>KTADev_lowdelay_P_jvet10_SEIDecodedPictureHash=1_SEIDecodedPictureHash=1_SEIDecodedPictureHash=1_qtbt-test3_ClassF_S01_q0_22_F500_T1</t>
  </si>
  <si>
    <t>KTADev_lowdelay_P_jvet10_SEIDecodedPictureHash=1_SEIDecodedPictureHash=1_SEIDecodedPictureHash=1_qtbt-test3_ClassF_S01_q0_27_F500_T1</t>
  </si>
  <si>
    <t>KTADev_lowdelay_P_jvet10_SEIDecodedPictureHash=1_SEIDecodedPictureHash=1_SEIDecodedPictureHash=1_qtbt-test3_ClassF_S01_q0_32_F500_T1</t>
  </si>
  <si>
    <t>KTADev_lowdelay_P_jvet10_SEIDecodedPictureHash=1_SEIDecodedPictureHash=1_SEIDecodedPictureHash=1_qtbt-test3_ClassF_S01_q0_37_F500_T1</t>
  </si>
  <si>
    <t>KTADev_lowdelay_P_jvet10_SEIDecodedPictureHash=1_SEIDecodedPictureHash=1_SEIDecodedPictureHash=1_qtbt-test3_ClassF_S02_q0_22_F500_T1</t>
  </si>
  <si>
    <t>KTADev_lowdelay_P_jvet10_SEIDecodedPictureHash=1_SEIDecodedPictureHash=1_SEIDecodedPictureHash=1_qtbt-test3_ClassF_S02_q0_27_F500_T1</t>
  </si>
  <si>
    <t>KTADev_lowdelay_P_jvet10_SEIDecodedPictureHash=1_SEIDecodedPictureHash=1_SEIDecodedPictureHash=1_qtbt-test3_ClassF_S02_q0_32_F500_T1</t>
  </si>
  <si>
    <t>KTADev_lowdelay_P_jvet10_SEIDecodedPictureHash=1_SEIDecodedPictureHash=1_SEIDecodedPictureHash=1_qtbt-test3_ClassF_S02_q0_37_F500_T1</t>
  </si>
  <si>
    <t>KTADev_lowdelay_P_jvet10_SEIDecodedPictureHash=1_SEIDecodedPictureHash=1_SEIDecodedPictureHash=1_qtbt-test3_ClassF_S03_q0_22_F300_T1</t>
  </si>
  <si>
    <t>KTADev_lowdelay_P_jvet10_SEIDecodedPictureHash=1_SEIDecodedPictureHash=1_SEIDecodedPictureHash=1_qtbt-test3_ClassF_S03_q0_27_F300_T1</t>
  </si>
  <si>
    <t>KTADev_lowdelay_P_jvet10_SEIDecodedPictureHash=1_SEIDecodedPictureHash=1_SEIDecodedPictureHash=1_qtbt-test3_ClassF_S03_q0_32_F300_T1</t>
  </si>
  <si>
    <t>KTADev_lowdelay_P_jvet10_SEIDecodedPictureHash=1_SEIDecodedPictureHash=1_SEIDecodedPictureHash=1_qtbt-test3_ClassF_S03_q0_37_F300_T1</t>
  </si>
  <si>
    <t>KTADev_lowdelay_P_jvet10_SEIDecodedPictureHash=1_SEIDecodedPictureHash=1_SEIDecodedPictureHash=1_qtbt-test3_ClassF_S04_q0_22_F500_T1</t>
  </si>
  <si>
    <t>KTADev_lowdelay_P_jvet10_SEIDecodedPictureHash=1_SEIDecodedPictureHash=1_SEIDecodedPictureHash=1_qtbt-test3_ClassF_S04_q0_27_F500_T1</t>
  </si>
  <si>
    <t>KTADev_lowdelay_P_jvet10_SEIDecodedPictureHash=1_SEIDecodedPictureHash=1_SEIDecodedPictureHash=1_qtbt-test3_ClassF_S04_q0_32_F500_T1</t>
  </si>
  <si>
    <t>KTADev_lowdelay_P_jvet10_SEIDecodedPictureHash=1_SEIDecodedPictureHash=1_SEIDecodedPictureHash=1_qtbt-test3_ClassF_S04_q0_37_F500_T1</t>
  </si>
  <si>
    <t>KTADev2_intra_jvet10_SEIDecodedPictureHash=1_SEIDecodedPictureHash=1_SEIDecodedPictureHash=1_dummy_ClassA1_S01_q0_22_F294_T8</t>
  </si>
  <si>
    <t>KTADev2_intra_jvet10_SEIDecodedPictureHash=1_SEIDecodedPictureHash=1_SEIDecodedPictureHash=1_dummy_ClassA1_S01_q0_27_F294_T8</t>
  </si>
  <si>
    <t>KTADev2_intra_jvet10_SEIDecodedPictureHash=1_SEIDecodedPictureHash=1_SEIDecodedPictureHash=1_dummy_ClassA1_S01_q0_32_F294_T8</t>
  </si>
  <si>
    <t>KTADev2_intra_jvet10_SEIDecodedPictureHash=1_SEIDecodedPictureHash=1_SEIDecodedPictureHash=1_dummy_ClassA1_S01_q0_37_F294_T8</t>
  </si>
  <si>
    <t>KTADev2_intra_jvet10_SEIDecodedPictureHash=1_SEIDecodedPictureHash=1_SEIDecodedPictureHash=1_dummy_ClassA1_S02_q0_22_F300_T8</t>
  </si>
  <si>
    <t>KTADev2_intra_jvet10_SEIDecodedPictureHash=1_SEIDecodedPictureHash=1_SEIDecodedPictureHash=1_dummy_ClassA1_S02_q0_27_F300_T8</t>
  </si>
  <si>
    <t>KTADev2_intra_jvet10_SEIDecodedPictureHash=1_SEIDecodedPictureHash=1_SEIDecodedPictureHash=1_dummy_ClassA1_S02_q0_32_F300_T8</t>
  </si>
  <si>
    <t>KTADev2_intra_jvet10_SEIDecodedPictureHash=1_SEIDecodedPictureHash=1_SEIDecodedPictureHash=1_dummy_ClassA1_S02_q0_37_F300_T8</t>
  </si>
  <si>
    <t>KTADev2_intra_jvet10_SEIDecodedPictureHash=1_SEIDecodedPictureHash=1_SEIDecodedPictureHash=1_dummy_ClassA1_S03_q0_22_F300_T8</t>
  </si>
  <si>
    <t>KTADev2_intra_jvet10_SEIDecodedPictureHash=1_SEIDecodedPictureHash=1_SEIDecodedPictureHash=1_dummy_ClassA1_S03_q0_27_F300_T8</t>
  </si>
  <si>
    <t>KTADev2_intra_jvet10_SEIDecodedPictureHash=1_SEIDecodedPictureHash=1_SEIDecodedPictureHash=1_dummy_ClassA1_S03_q0_32_F300_T8</t>
  </si>
  <si>
    <t>KTADev2_intra_jvet10_SEIDecodedPictureHash=1_SEIDecodedPictureHash=1_SEIDecodedPictureHash=1_dummy_ClassA1_S03_q0_37_F300_T8</t>
  </si>
  <si>
    <t>KTADev2_intra_jvet10_SEIDecodedPictureHash=1_SEIDecodedPictureHash=1_SEIDecodedPictureHash=1_dummy_ClassA1_S04_q0_22_F300_T8</t>
  </si>
  <si>
    <t>KTADev2_intra_jvet10_SEIDecodedPictureHash=1_SEIDecodedPictureHash=1_SEIDecodedPictureHash=1_dummy_ClassA1_S04_q0_27_F300_T8</t>
  </si>
  <si>
    <t>KTADev2_intra_jvet10_SEIDecodedPictureHash=1_SEIDecodedPictureHash=1_SEIDecodedPictureHash=1_dummy_ClassA1_S04_q0_32_F300_T8</t>
  </si>
  <si>
    <t>KTADev2_intra_jvet10_SEIDecodedPictureHash=1_SEIDecodedPictureHash=1_SEIDecodedPictureHash=1_dummy_ClassA1_S04_q0_37_F300_T8</t>
  </si>
  <si>
    <t>KTADev2_intra_jvet10_SEIDecodedPictureHash=1_SEIDecodedPictureHash=1_SEIDecodedPictureHash=1_dummy_ClassA2_S01_q0_22_F300_T8</t>
  </si>
  <si>
    <t>KTADev2_intra_jvet10_SEIDecodedPictureHash=1_SEIDecodedPictureHash=1_SEIDecodedPictureHash=1_dummy_ClassA2_S01_q0_27_F300_T8</t>
  </si>
  <si>
    <t>KTADev2_intra_jvet10_SEIDecodedPictureHash=1_SEIDecodedPictureHash=1_SEIDecodedPictureHash=1_dummy_ClassA2_S01_q0_32_F300_T8</t>
  </si>
  <si>
    <t>KTADev2_intra_jvet10_SEIDecodedPictureHash=1_SEIDecodedPictureHash=1_SEIDecodedPictureHash=1_dummy_ClassA2_S01_q0_37_F300_T8</t>
  </si>
  <si>
    <t>KTADev2_intra_jvet10_SEIDecodedPictureHash=1_SEIDecodedPictureHash=1_SEIDecodedPictureHash=1_dummy_ClassA2_S02_q0_22_F300_T8</t>
  </si>
  <si>
    <t>KTADev2_intra_jvet10_SEIDecodedPictureHash=1_SEIDecodedPictureHash=1_SEIDecodedPictureHash=1_dummy_ClassA2_S02_q0_27_F300_T8</t>
  </si>
  <si>
    <t>KTADev2_intra_jvet10_SEIDecodedPictureHash=1_SEIDecodedPictureHash=1_SEIDecodedPictureHash=1_dummy_ClassA2_S02_q0_32_F300_T8</t>
  </si>
  <si>
    <t>KTADev2_intra_jvet10_SEIDecodedPictureHash=1_SEIDecodedPictureHash=1_SEIDecodedPictureHash=1_dummy_ClassA2_S02_q0_37_F300_T8</t>
  </si>
  <si>
    <t>KTADev2_intra_jvet10_SEIDecodedPictureHash=1_SEIDecodedPictureHash=1_SEIDecodedPictureHash=1_dummy_ClassA2_S03_q0_22_F300_T8</t>
  </si>
  <si>
    <t>KTADev2_intra_jvet10_SEIDecodedPictureHash=1_SEIDecodedPictureHash=1_SEIDecodedPictureHash=1_dummy_ClassA2_S03_q0_27_F300_T8</t>
  </si>
  <si>
    <t>KTADev2_intra_jvet10_SEIDecodedPictureHash=1_SEIDecodedPictureHash=1_SEIDecodedPictureHash=1_dummy_ClassA2_S03_q0_32_F300_T8</t>
  </si>
  <si>
    <t>KTADev2_intra_jvet10_SEIDecodedPictureHash=1_SEIDecodedPictureHash=1_SEIDecodedPictureHash=1_dummy_ClassA2_S03_q0_37_F300_T8</t>
  </si>
  <si>
    <t>KTADev2_intra_jvet10_SEIDecodedPictureHash=1_SEIDecodedPictureHash=1_SEIDecodedPictureHash=1_dummy_ClassA2_S04_q0_22_F300_T8</t>
  </si>
  <si>
    <t>KTADev2_intra_jvet10_SEIDecodedPictureHash=1_SEIDecodedPictureHash=1_SEIDecodedPictureHash=1_dummy_ClassA2_S04_q0_27_F300_T8</t>
  </si>
  <si>
    <t>KTADev2_intra_jvet10_SEIDecodedPictureHash=1_SEIDecodedPictureHash=1_SEIDecodedPictureHash=1_dummy_ClassA2_S04_q0_32_F300_T8</t>
  </si>
  <si>
    <t>KTADev2_intra_jvet10_SEIDecodedPictureHash=1_SEIDecodedPictureHash=1_SEIDecodedPictureHash=1_dummy_ClassA2_S04_q0_37_F300_T8</t>
  </si>
  <si>
    <t>KTADev2_intra_jvet10_SEIDecodedPictureHash=1_SEIDecodedPictureHash=1_SEIDecodedPictureHash=1_dummy_ClassB_S01_q0_22_F240_T8</t>
  </si>
  <si>
    <t>KTADev2_intra_jvet10_SEIDecodedPictureHash=1_SEIDecodedPictureHash=1_SEIDecodedPictureHash=1_dummy_ClassB_S01_q0_27_F240_T8</t>
  </si>
  <si>
    <t>KTADev2_intra_jvet10_SEIDecodedPictureHash=1_SEIDecodedPictureHash=1_SEIDecodedPictureHash=1_dummy_ClassB_S01_q0_32_F240_T8</t>
  </si>
  <si>
    <t>KTADev2_intra_jvet10_SEIDecodedPictureHash=1_SEIDecodedPictureHash=1_SEIDecodedPictureHash=1_dummy_ClassB_S01_q0_37_F240_T8</t>
  </si>
  <si>
    <t>KTADev2_intra_jvet10_SEIDecodedPictureHash=1_SEIDecodedPictureHash=1_SEIDecodedPictureHash=1_dummy_ClassB_S02_q0_22_F240_T8</t>
  </si>
  <si>
    <t>KTADev2_intra_jvet10_SEIDecodedPictureHash=1_SEIDecodedPictureHash=1_SEIDecodedPictureHash=1_dummy_ClassB_S02_q0_27_F240_T8</t>
  </si>
  <si>
    <t>KTADev2_intra_jvet10_SEIDecodedPictureHash=1_SEIDecodedPictureHash=1_SEIDecodedPictureHash=1_dummy_ClassB_S02_q0_32_F240_T8</t>
  </si>
  <si>
    <t>KTADev2_intra_jvet10_SEIDecodedPictureHash=1_SEIDecodedPictureHash=1_SEIDecodedPictureHash=1_dummy_ClassB_S02_q0_37_F240_T8</t>
  </si>
  <si>
    <t>KTADev2_intra_jvet10_SEIDecodedPictureHash=1_SEIDecodedPictureHash=1_SEIDecodedPictureHash=1_dummy_ClassB_S03_q0_22_F500_T8</t>
  </si>
  <si>
    <t>KTADev2_intra_jvet10_SEIDecodedPictureHash=1_SEIDecodedPictureHash=1_SEIDecodedPictureHash=1_dummy_ClassB_S03_q0_27_F500_T8</t>
  </si>
  <si>
    <t>KTADev2_intra_jvet10_SEIDecodedPictureHash=1_SEIDecodedPictureHash=1_SEIDecodedPictureHash=1_dummy_ClassB_S03_q0_32_F500_T8</t>
  </si>
  <si>
    <t>KTADev2_intra_jvet10_SEIDecodedPictureHash=1_SEIDecodedPictureHash=1_SEIDecodedPictureHash=1_dummy_ClassB_S03_q0_37_F500_T8</t>
  </si>
  <si>
    <t>KTADev2_intra_jvet10_SEIDecodedPictureHash=1_SEIDecodedPictureHash=1_SEIDecodedPictureHash=1_dummy_ClassB_S04_q0_22_F500_T8</t>
  </si>
  <si>
    <t>KTADev2_intra_jvet10_SEIDecodedPictureHash=1_SEIDecodedPictureHash=1_SEIDecodedPictureHash=1_dummy_ClassB_S04_q0_27_F500_T8</t>
  </si>
  <si>
    <t>KTADev2_intra_jvet10_SEIDecodedPictureHash=1_SEIDecodedPictureHash=1_SEIDecodedPictureHash=1_dummy_ClassB_S04_q0_32_F500_T8</t>
  </si>
  <si>
    <t>KTADev2_intra_jvet10_SEIDecodedPictureHash=1_SEIDecodedPictureHash=1_SEIDecodedPictureHash=1_dummy_ClassB_S04_q0_37_F500_T8</t>
  </si>
  <si>
    <t>KTADev2_intra_jvet10_SEIDecodedPictureHash=1_SEIDecodedPictureHash=1_SEIDecodedPictureHash=1_dummy_ClassB_S05_q0_22_F600_T8</t>
  </si>
  <si>
    <t>KTADev2_intra_jvet10_SEIDecodedPictureHash=1_SEIDecodedPictureHash=1_SEIDecodedPictureHash=1_dummy_ClassB_S05_q0_27_F600_T8</t>
  </si>
  <si>
    <t>KTADev2_intra_jvet10_SEIDecodedPictureHash=1_SEIDecodedPictureHash=1_SEIDecodedPictureHash=1_dummy_ClassB_S05_q0_32_F600_T8</t>
  </si>
  <si>
    <t>KTADev2_intra_jvet10_SEIDecodedPictureHash=1_SEIDecodedPictureHash=1_SEIDecodedPictureHash=1_dummy_ClassB_S05_q0_37_F600_T8</t>
  </si>
  <si>
    <t>KTADev2_intra_jvet10_SEIDecodedPictureHash=1_SEIDecodedPictureHash=1_SEIDecodedPictureHash=1_dummy_ClassC_S01_q0_22_F500_T8</t>
  </si>
  <si>
    <t>KTADev2_intra_jvet10_SEIDecodedPictureHash=1_SEIDecodedPictureHash=1_SEIDecodedPictureHash=1_dummy_ClassC_S01_q0_27_F500_T8</t>
  </si>
  <si>
    <t>KTADev2_intra_jvet10_SEIDecodedPictureHash=1_SEIDecodedPictureHash=1_SEIDecodedPictureHash=1_dummy_ClassC_S01_q0_32_F500_T8</t>
  </si>
  <si>
    <t>KTADev2_intra_jvet10_SEIDecodedPictureHash=1_SEIDecodedPictureHash=1_SEIDecodedPictureHash=1_dummy_ClassC_S01_q0_37_F500_T8</t>
  </si>
  <si>
    <t>KTADev2_intra_jvet10_SEIDecodedPictureHash=1_SEIDecodedPictureHash=1_SEIDecodedPictureHash=1_dummy_ClassC_S02_q0_22_F600_T8</t>
  </si>
  <si>
    <t>KTADev2_intra_jvet10_SEIDecodedPictureHash=1_SEIDecodedPictureHash=1_SEIDecodedPictureHash=1_dummy_ClassC_S02_q0_27_F600_T8</t>
  </si>
  <si>
    <t>KTADev2_intra_jvet10_SEIDecodedPictureHash=1_SEIDecodedPictureHash=1_SEIDecodedPictureHash=1_dummy_ClassC_S02_q0_32_F600_T8</t>
  </si>
  <si>
    <t>KTADev2_intra_jvet10_SEIDecodedPictureHash=1_SEIDecodedPictureHash=1_SEIDecodedPictureHash=1_dummy_ClassC_S02_q0_37_F600_T8</t>
  </si>
  <si>
    <t>KTADev2_intra_jvet10_SEIDecodedPictureHash=1_SEIDecodedPictureHash=1_SEIDecodedPictureHash=1_dummy_ClassC_S03_q0_22_F500_T8</t>
  </si>
  <si>
    <t>KTADev2_intra_jvet10_SEIDecodedPictureHash=1_SEIDecodedPictureHash=1_SEIDecodedPictureHash=1_dummy_ClassC_S03_q0_27_F500_T8</t>
  </si>
  <si>
    <t>KTADev2_intra_jvet10_SEIDecodedPictureHash=1_SEIDecodedPictureHash=1_SEIDecodedPictureHash=1_dummy_ClassC_S03_q0_32_F500_T8</t>
  </si>
  <si>
    <t>KTADev2_intra_jvet10_SEIDecodedPictureHash=1_SEIDecodedPictureHash=1_SEIDecodedPictureHash=1_dummy_ClassC_S03_q0_37_F500_T8</t>
  </si>
  <si>
    <t>KTADev2_intra_jvet10_SEIDecodedPictureHash=1_SEIDecodedPictureHash=1_SEIDecodedPictureHash=1_dummy_ClassC_S04_q0_22_F300_T8</t>
  </si>
  <si>
    <t>KTADev2_intra_jvet10_SEIDecodedPictureHash=1_SEIDecodedPictureHash=1_SEIDecodedPictureHash=1_dummy_ClassC_S04_q0_27_F300_T8</t>
  </si>
  <si>
    <t>KTADev2_intra_jvet10_SEIDecodedPictureHash=1_SEIDecodedPictureHash=1_SEIDecodedPictureHash=1_dummy_ClassC_S04_q0_32_F300_T8</t>
  </si>
  <si>
    <t>KTADev2_intra_jvet10_SEIDecodedPictureHash=1_SEIDecodedPictureHash=1_SEIDecodedPictureHash=1_dummy_ClassC_S04_q0_37_F300_T8</t>
  </si>
  <si>
    <t>KTADev2_intra_jvet10_SEIDecodedPictureHash=1_SEIDecodedPictureHash=1_SEIDecodedPictureHash=1_dummy_ClassD_S01_q0_22_F500_T8</t>
  </si>
  <si>
    <t>KTADev2_intra_jvet10_SEIDecodedPictureHash=1_SEIDecodedPictureHash=1_SEIDecodedPictureHash=1_dummy_ClassD_S01_q0_27_F500_T8</t>
  </si>
  <si>
    <t>KTADev2_intra_jvet10_SEIDecodedPictureHash=1_SEIDecodedPictureHash=1_SEIDecodedPictureHash=1_dummy_ClassD_S01_q0_32_F500_T8</t>
  </si>
  <si>
    <t>KTADev2_intra_jvet10_SEIDecodedPictureHash=1_SEIDecodedPictureHash=1_SEIDecodedPictureHash=1_dummy_ClassD_S01_q0_37_F500_T8</t>
  </si>
  <si>
    <t>KTADev2_intra_jvet10_SEIDecodedPictureHash=1_SEIDecodedPictureHash=1_SEIDecodedPictureHash=1_dummy_ClassD_S02_q0_22_F600_T8</t>
  </si>
  <si>
    <t>KTADev2_intra_jvet10_SEIDecodedPictureHash=1_SEIDecodedPictureHash=1_SEIDecodedPictureHash=1_dummy_ClassD_S02_q0_27_F600_T8</t>
  </si>
  <si>
    <t>KTADev2_intra_jvet10_SEIDecodedPictureHash=1_SEIDecodedPictureHash=1_SEIDecodedPictureHash=1_dummy_ClassD_S02_q0_32_F600_T8</t>
  </si>
  <si>
    <t>KTADev2_intra_jvet10_SEIDecodedPictureHash=1_SEIDecodedPictureHash=1_SEIDecodedPictureHash=1_dummy_ClassD_S02_q0_37_F600_T8</t>
  </si>
  <si>
    <t>KTADev2_intra_jvet10_SEIDecodedPictureHash=1_SEIDecodedPictureHash=1_SEIDecodedPictureHash=1_dummy_ClassD_S03_q0_22_F500_T8</t>
  </si>
  <si>
    <t>KTADev2_intra_jvet10_SEIDecodedPictureHash=1_SEIDecodedPictureHash=1_SEIDecodedPictureHash=1_dummy_ClassD_S03_q0_27_F500_T8</t>
  </si>
  <si>
    <t>KTADev2_intra_jvet10_SEIDecodedPictureHash=1_SEIDecodedPictureHash=1_SEIDecodedPictureHash=1_dummy_ClassD_S03_q0_32_F500_T8</t>
  </si>
  <si>
    <t>KTADev2_intra_jvet10_SEIDecodedPictureHash=1_SEIDecodedPictureHash=1_SEIDecodedPictureHash=1_dummy_ClassD_S03_q0_37_F500_T8</t>
  </si>
  <si>
    <t>KTADev2_intra_jvet10_SEIDecodedPictureHash=1_SEIDecodedPictureHash=1_SEIDecodedPictureHash=1_dummy_ClassD_S04_q0_22_F300_T8</t>
  </si>
  <si>
    <t>KTADev2_intra_jvet10_SEIDecodedPictureHash=1_SEIDecodedPictureHash=1_SEIDecodedPictureHash=1_dummy_ClassD_S04_q0_27_F300_T8</t>
  </si>
  <si>
    <t>KTADev2_intra_jvet10_SEIDecodedPictureHash=1_SEIDecodedPictureHash=1_SEIDecodedPictureHash=1_dummy_ClassD_S04_q0_32_F300_T8</t>
  </si>
  <si>
    <t>KTADev2_intra_jvet10_SEIDecodedPictureHash=1_SEIDecodedPictureHash=1_SEIDecodedPictureHash=1_dummy_ClassD_S04_q0_37_F300_T8</t>
  </si>
  <si>
    <t>KTADev2_intra_jvet10_SEIDecodedPictureHash=1_SEIDecodedPictureHash=1_SEIDecodedPictureHash=1_dummy_ClassE_S01_q0_22_F600_T8</t>
  </si>
  <si>
    <t>KTADev2_intra_jvet10_SEIDecodedPictureHash=1_SEIDecodedPictureHash=1_SEIDecodedPictureHash=1_dummy_ClassE_S01_q0_27_F600_T8</t>
  </si>
  <si>
    <t>KTADev2_intra_jvet10_SEIDecodedPictureHash=1_SEIDecodedPictureHash=1_SEIDecodedPictureHash=1_dummy_ClassE_S01_q0_32_F600_T8</t>
  </si>
  <si>
    <t>KTADev2_intra_jvet10_SEIDecodedPictureHash=1_SEIDecodedPictureHash=1_SEIDecodedPictureHash=1_dummy_ClassE_S01_q0_37_F600_T8</t>
  </si>
  <si>
    <t>KTADev2_intra_jvet10_SEIDecodedPictureHash=1_SEIDecodedPictureHash=1_SEIDecodedPictureHash=1_dummy_ClassE_S02_q0_22_F600_T8</t>
  </si>
  <si>
    <t>KTADev2_intra_jvet10_SEIDecodedPictureHash=1_SEIDecodedPictureHash=1_SEIDecodedPictureHash=1_dummy_ClassE_S02_q0_27_F600_T8</t>
  </si>
  <si>
    <t>KTADev2_intra_jvet10_SEIDecodedPictureHash=1_SEIDecodedPictureHash=1_SEIDecodedPictureHash=1_dummy_ClassE_S02_q0_32_F600_T8</t>
  </si>
  <si>
    <t>KTADev2_intra_jvet10_SEIDecodedPictureHash=1_SEIDecodedPictureHash=1_SEIDecodedPictureHash=1_dummy_ClassE_S02_q0_37_F600_T8</t>
  </si>
  <si>
    <t>KTADev2_intra_jvet10_SEIDecodedPictureHash=1_SEIDecodedPictureHash=1_SEIDecodedPictureHash=1_dummy_ClassE_S03_q0_22_F600_T8</t>
  </si>
  <si>
    <t>KTADev2_intra_jvet10_SEIDecodedPictureHash=1_SEIDecodedPictureHash=1_SEIDecodedPictureHash=1_dummy_ClassE_S03_q0_27_F600_T8</t>
  </si>
  <si>
    <t>KTADev2_intra_jvet10_SEIDecodedPictureHash=1_SEIDecodedPictureHash=1_SEIDecodedPictureHash=1_dummy_ClassE_S03_q0_32_F600_T8</t>
  </si>
  <si>
    <t>KTADev2_intra_jvet10_SEIDecodedPictureHash=1_SEIDecodedPictureHash=1_SEIDecodedPictureHash=1_dummy_ClassE_S03_q0_37_F600_T8</t>
  </si>
  <si>
    <t>KTADev2_intra_jvet10_SEIDecodedPictureHash=1_SEIDecodedPictureHash=1_SEIDecodedPictureHash=1_dummy_ClassF_S01_q0_22_F500_T8</t>
  </si>
  <si>
    <t>KTADev2_intra_jvet10_SEIDecodedPictureHash=1_SEIDecodedPictureHash=1_SEIDecodedPictureHash=1_dummy_ClassF_S01_q0_27_F500_T8</t>
  </si>
  <si>
    <t>KTADev2_intra_jvet10_SEIDecodedPictureHash=1_SEIDecodedPictureHash=1_SEIDecodedPictureHash=1_dummy_ClassF_S01_q0_32_F500_T8</t>
  </si>
  <si>
    <t>KTADev2_intra_jvet10_SEIDecodedPictureHash=1_SEIDecodedPictureHash=1_SEIDecodedPictureHash=1_dummy_ClassF_S01_q0_37_F500_T8</t>
  </si>
  <si>
    <t>KTADev2_intra_jvet10_SEIDecodedPictureHash=1_SEIDecodedPictureHash=1_SEIDecodedPictureHash=1_dummy_ClassF_S02_q0_22_F500_T8</t>
  </si>
  <si>
    <t>KTADev2_intra_jvet10_SEIDecodedPictureHash=1_SEIDecodedPictureHash=1_SEIDecodedPictureHash=1_dummy_ClassF_S02_q0_27_F500_T8</t>
  </si>
  <si>
    <t>KTADev2_intra_jvet10_SEIDecodedPictureHash=1_SEIDecodedPictureHash=1_SEIDecodedPictureHash=1_dummy_ClassF_S02_q0_32_F500_T8</t>
  </si>
  <si>
    <t>KTADev2_intra_jvet10_SEIDecodedPictureHash=1_SEIDecodedPictureHash=1_SEIDecodedPictureHash=1_dummy_ClassF_S02_q0_37_F500_T8</t>
  </si>
  <si>
    <t>KTADev2_intra_jvet10_SEIDecodedPictureHash=1_SEIDecodedPictureHash=1_SEIDecodedPictureHash=1_dummy_ClassF_S03_q0_22_F300_T8</t>
  </si>
  <si>
    <t>KTADev2_intra_jvet10_SEIDecodedPictureHash=1_SEIDecodedPictureHash=1_SEIDecodedPictureHash=1_dummy_ClassF_S03_q0_27_F300_T8</t>
  </si>
  <si>
    <t>KTADev2_intra_jvet10_SEIDecodedPictureHash=1_SEIDecodedPictureHash=1_SEIDecodedPictureHash=1_dummy_ClassF_S03_q0_32_F300_T8</t>
  </si>
  <si>
    <t>KTADev2_intra_jvet10_SEIDecodedPictureHash=1_SEIDecodedPictureHash=1_SEIDecodedPictureHash=1_dummy_ClassF_S03_q0_37_F300_T8</t>
  </si>
  <si>
    <t>KTADev2_intra_jvet10_SEIDecodedPictureHash=1_SEIDecodedPictureHash=1_SEIDecodedPictureHash=1_dummy_ClassF_S04_q0_22_F500_T8</t>
  </si>
  <si>
    <t>KTADev2_intra_jvet10_SEIDecodedPictureHash=1_SEIDecodedPictureHash=1_SEIDecodedPictureHash=1_dummy_ClassF_S04_q0_27_F500_T8</t>
  </si>
  <si>
    <t>KTADev2_intra_jvet10_SEIDecodedPictureHash=1_SEIDecodedPictureHash=1_SEIDecodedPictureHash=1_dummy_ClassF_S04_q0_32_F500_T8</t>
  </si>
  <si>
    <t>KTADev2_intra_jvet10_SEIDecodedPictureHash=1_SEIDecodedPictureHash=1_SEIDecodedPictureHash=1_dummy_ClassF_S04_q0_37_F500_T8</t>
  </si>
  <si>
    <t>KTADev2_randomaccess_jvet10_SEIDecodedPictureHash=1_SEIDecodedPictureHash=1_SEIDecodedPictureHash=1_dummy_ClassA1_S01_q0_22_F294_T1</t>
  </si>
  <si>
    <t>KTADev2_randomaccess_jvet10_SEIDecodedPictureHash=1_SEIDecodedPictureHash=1_SEIDecodedPictureHash=1_dummy_ClassA1_S01_q0_27_F294_T1</t>
  </si>
  <si>
    <t>KTADev2_randomaccess_jvet10_SEIDecodedPictureHash=1_SEIDecodedPictureHash=1_SEIDecodedPictureHash=1_dummy_ClassA1_S01_q0_32_F294_T1</t>
  </si>
  <si>
    <t>KTADev2_randomaccess_jvet10_SEIDecodedPictureHash=1_SEIDecodedPictureHash=1_SEIDecodedPictureHash=1_dummy_ClassA1_S01_q0_37_F294_T1</t>
  </si>
  <si>
    <t>KTADev2_randomaccess_jvet10_SEIDecodedPictureHash=1_SEIDecodedPictureHash=1_SEIDecodedPictureHash=1_dummy_ClassA1_S02_q0_22_F300_T1</t>
  </si>
  <si>
    <t>KTADev2_randomaccess_jvet10_SEIDecodedPictureHash=1_SEIDecodedPictureHash=1_SEIDecodedPictureHash=1_dummy_ClassA1_S02_q0_27_F300_T1</t>
  </si>
  <si>
    <t>KTADev2_randomaccess_jvet10_SEIDecodedPictureHash=1_SEIDecodedPictureHash=1_SEIDecodedPictureHash=1_dummy_ClassA1_S02_q0_32_F300_T1</t>
  </si>
  <si>
    <t>KTADev2_randomaccess_jvet10_SEIDecodedPictureHash=1_SEIDecodedPictureHash=1_SEIDecodedPictureHash=1_dummy_ClassA1_S02_q0_37_F300_T1</t>
  </si>
  <si>
    <t>KTADev2_randomaccess_jvet10_SEIDecodedPictureHash=1_SEIDecodedPictureHash=1_SEIDecodedPictureHash=1_dummy_ClassA1_S03_q0_22_F300_T1</t>
  </si>
  <si>
    <t>KTADev2_randomaccess_jvet10_SEIDecodedPictureHash=1_SEIDecodedPictureHash=1_SEIDecodedPictureHash=1_dummy_ClassA1_S03_q0_27_F300_T1</t>
  </si>
  <si>
    <t>KTADev2_randomaccess_jvet10_SEIDecodedPictureHash=1_SEIDecodedPictureHash=1_SEIDecodedPictureHash=1_dummy_ClassA1_S03_q0_32_F300_T1</t>
  </si>
  <si>
    <t>KTADev2_randomaccess_jvet10_SEIDecodedPictureHash=1_SEIDecodedPictureHash=1_SEIDecodedPictureHash=1_dummy_ClassA1_S03_q0_37_F300_T1</t>
  </si>
  <si>
    <t>KTADev2_randomaccess_jvet10_SEIDecodedPictureHash=1_SEIDecodedPictureHash=1_SEIDecodedPictureHash=1_dummy_ClassA1_S04_q0_22_F300_T1</t>
  </si>
  <si>
    <t>KTADev2_randomaccess_jvet10_SEIDecodedPictureHash=1_SEIDecodedPictureHash=1_SEIDecodedPictureHash=1_dummy_ClassA1_S04_q0_27_F300_T1</t>
  </si>
  <si>
    <t>KTADev2_randomaccess_jvet10_SEIDecodedPictureHash=1_SEIDecodedPictureHash=1_SEIDecodedPictureHash=1_dummy_ClassA1_S04_q0_32_F300_T1</t>
  </si>
  <si>
    <t>KTADev2_randomaccess_jvet10_SEIDecodedPictureHash=1_SEIDecodedPictureHash=1_SEIDecodedPictureHash=1_dummy_ClassA1_S04_q0_37_F300_T1</t>
  </si>
  <si>
    <t>KTADev2_randomaccess_jvet10_SEIDecodedPictureHash=1_SEIDecodedPictureHash=1_SEIDecodedPictureHash=1_dummy_ClassA2_S01_q0_22_F300_T1</t>
  </si>
  <si>
    <t>KTADev2_randomaccess_jvet10_SEIDecodedPictureHash=1_SEIDecodedPictureHash=1_SEIDecodedPictureHash=1_dummy_ClassA2_S01_q0_27_F300_T1</t>
  </si>
  <si>
    <t>KTADev2_randomaccess_jvet10_SEIDecodedPictureHash=1_SEIDecodedPictureHash=1_SEIDecodedPictureHash=1_dummy_ClassA2_S01_q0_32_F300_T1</t>
  </si>
  <si>
    <t>KTADev2_randomaccess_jvet10_SEIDecodedPictureHash=1_SEIDecodedPictureHash=1_SEIDecodedPictureHash=1_dummy_ClassA2_S01_q0_37_F300_T1</t>
  </si>
  <si>
    <t>KTADev2_randomaccess_jvet10_SEIDecodedPictureHash=1_SEIDecodedPictureHash=1_SEIDecodedPictureHash=1_dummy_ClassA2_S02_q0_22_F300_T1</t>
  </si>
  <si>
    <t>KTADev2_randomaccess_jvet10_SEIDecodedPictureHash=1_SEIDecodedPictureHash=1_SEIDecodedPictureHash=1_dummy_ClassA2_S02_q0_27_F300_T1</t>
  </si>
  <si>
    <t>KTADev2_randomaccess_jvet10_SEIDecodedPictureHash=1_SEIDecodedPictureHash=1_SEIDecodedPictureHash=1_dummy_ClassA2_S02_q0_32_F300_T1</t>
  </si>
  <si>
    <t>KTADev2_randomaccess_jvet10_SEIDecodedPictureHash=1_SEIDecodedPictureHash=1_SEIDecodedPictureHash=1_dummy_ClassA2_S02_q0_37_F300_T1</t>
  </si>
  <si>
    <t>KTADev2_randomaccess_jvet10_SEIDecodedPictureHash=1_SEIDecodedPictureHash=1_SEIDecodedPictureHash=1_dummy_ClassA2_S03_q0_22_F300_T1</t>
  </si>
  <si>
    <t>KTADev2_randomaccess_jvet10_SEIDecodedPictureHash=1_SEIDecodedPictureHash=1_SEIDecodedPictureHash=1_dummy_ClassA2_S03_q0_27_F300_T1</t>
  </si>
  <si>
    <t>KTADev2_randomaccess_jvet10_SEIDecodedPictureHash=1_SEIDecodedPictureHash=1_SEIDecodedPictureHash=1_dummy_ClassA2_S03_q0_32_F300_T1</t>
  </si>
  <si>
    <t>KTADev2_randomaccess_jvet10_SEIDecodedPictureHash=1_SEIDecodedPictureHash=1_SEIDecodedPictureHash=1_dummy_ClassA2_S03_q0_37_F300_T1</t>
  </si>
  <si>
    <t>KTADev2_randomaccess_jvet10_SEIDecodedPictureHash=1_SEIDecodedPictureHash=1_SEIDecodedPictureHash=1_dummy_ClassA2_S04_q0_22_F300_T1</t>
  </si>
  <si>
    <t>KTADev2_randomaccess_jvet10_SEIDecodedPictureHash=1_SEIDecodedPictureHash=1_SEIDecodedPictureHash=1_dummy_ClassA2_S04_q0_27_F300_T1</t>
  </si>
  <si>
    <t>KTADev2_randomaccess_jvet10_SEIDecodedPictureHash=1_SEIDecodedPictureHash=1_SEIDecodedPictureHash=1_dummy_ClassA2_S04_q0_32_F300_T1</t>
  </si>
  <si>
    <t>KTADev2_randomaccess_jvet10_SEIDecodedPictureHash=1_SEIDecodedPictureHash=1_SEIDecodedPictureHash=1_dummy_ClassA2_S04_q0_37_F300_T1</t>
  </si>
  <si>
    <t>KTADev2_randomaccess_jvet10_SEIDecodedPictureHash=1_SEIDecodedPictureHash=1_SEIDecodedPictureHash=1_dummy_ClassB_S01_q0_22_F240_T1</t>
  </si>
  <si>
    <t>KTADev2_randomaccess_jvet10_SEIDecodedPictureHash=1_SEIDecodedPictureHash=1_SEIDecodedPictureHash=1_dummy_ClassB_S01_q0_27_F240_T1</t>
  </si>
  <si>
    <t>KTADev2_randomaccess_jvet10_SEIDecodedPictureHash=1_SEIDecodedPictureHash=1_SEIDecodedPictureHash=1_dummy_ClassB_S01_q0_32_F240_T1</t>
  </si>
  <si>
    <t>KTADev2_randomaccess_jvet10_SEIDecodedPictureHash=1_SEIDecodedPictureHash=1_SEIDecodedPictureHash=1_dummy_ClassB_S01_q0_37_F240_T1</t>
  </si>
  <si>
    <t>KTADev2_randomaccess_jvet10_SEIDecodedPictureHash=1_SEIDecodedPictureHash=1_SEIDecodedPictureHash=1_dummy_ClassB_S02_q0_22_F240_T1</t>
  </si>
  <si>
    <t>KTADev2_randomaccess_jvet10_SEIDecodedPictureHash=1_SEIDecodedPictureHash=1_SEIDecodedPictureHash=1_dummy_ClassB_S02_q0_27_F240_T1</t>
  </si>
  <si>
    <t>KTADev2_randomaccess_jvet10_SEIDecodedPictureHash=1_SEIDecodedPictureHash=1_SEIDecodedPictureHash=1_dummy_ClassB_S02_q0_32_F240_T1</t>
  </si>
  <si>
    <t>KTADev2_randomaccess_jvet10_SEIDecodedPictureHash=1_SEIDecodedPictureHash=1_SEIDecodedPictureHash=1_dummy_ClassB_S02_q0_37_F240_T1</t>
  </si>
  <si>
    <t>KTADev2_randomaccess_jvet10_SEIDecodedPictureHash=1_SEIDecodedPictureHash=1_SEIDecodedPictureHash=1_dummy_ClassB_S03_q0_22_F500_T1</t>
  </si>
  <si>
    <t>KTADev2_randomaccess_jvet10_SEIDecodedPictureHash=1_SEIDecodedPictureHash=1_SEIDecodedPictureHash=1_dummy_ClassB_S03_q0_27_F500_T1</t>
  </si>
  <si>
    <t>KTADev2_randomaccess_jvet10_SEIDecodedPictureHash=1_SEIDecodedPictureHash=1_SEIDecodedPictureHash=1_dummy_ClassB_S03_q0_32_F500_T1</t>
  </si>
  <si>
    <t>KTADev2_randomaccess_jvet10_SEIDecodedPictureHash=1_SEIDecodedPictureHash=1_SEIDecodedPictureHash=1_dummy_ClassB_S03_q0_37_F500_T1</t>
  </si>
  <si>
    <t>KTADev2_randomaccess_jvet10_SEIDecodedPictureHash=1_SEIDecodedPictureHash=1_SEIDecodedPictureHash=1_dummy_ClassB_S04_q0_22_F500_T1</t>
  </si>
  <si>
    <t>KTADev2_randomaccess_jvet10_SEIDecodedPictureHash=1_SEIDecodedPictureHash=1_SEIDecodedPictureHash=1_dummy_ClassB_S04_q0_27_F500_T1</t>
  </si>
  <si>
    <t>KTADev2_randomaccess_jvet10_SEIDecodedPictureHash=1_SEIDecodedPictureHash=1_SEIDecodedPictureHash=1_dummy_ClassB_S04_q0_32_F500_T1</t>
  </si>
  <si>
    <t>KTADev2_randomaccess_jvet10_SEIDecodedPictureHash=1_SEIDecodedPictureHash=1_SEIDecodedPictureHash=1_dummy_ClassB_S04_q0_37_F500_T1</t>
  </si>
  <si>
    <t>KTADev2_randomaccess_jvet10_SEIDecodedPictureHash=1_SEIDecodedPictureHash=1_SEIDecodedPictureHash=1_dummy_ClassB_S05_q0_22_F600_T1</t>
  </si>
  <si>
    <t>KTADev2_randomaccess_jvet10_SEIDecodedPictureHash=1_SEIDecodedPictureHash=1_SEIDecodedPictureHash=1_dummy_ClassB_S05_q0_27_F600_T1</t>
  </si>
  <si>
    <t>KTADev2_randomaccess_jvet10_SEIDecodedPictureHash=1_SEIDecodedPictureHash=1_SEIDecodedPictureHash=1_dummy_ClassB_S05_q0_32_F600_T1</t>
  </si>
  <si>
    <t>KTADev2_randomaccess_jvet10_SEIDecodedPictureHash=1_SEIDecodedPictureHash=1_SEIDecodedPictureHash=1_dummy_ClassB_S05_q0_37_F600_T1</t>
  </si>
  <si>
    <t>KTADev2_randomaccess_jvet10_SEIDecodedPictureHash=1_SEIDecodedPictureHash=1_SEIDecodedPictureHash=1_dummy_ClassC_S01_q0_22_F500_T1</t>
  </si>
  <si>
    <t>KTADev2_randomaccess_jvet10_SEIDecodedPictureHash=1_SEIDecodedPictureHash=1_SEIDecodedPictureHash=1_dummy_ClassC_S01_q0_27_F500_T1</t>
  </si>
  <si>
    <t>KTADev2_randomaccess_jvet10_SEIDecodedPictureHash=1_SEIDecodedPictureHash=1_SEIDecodedPictureHash=1_dummy_ClassC_S01_q0_32_F500_T1</t>
  </si>
  <si>
    <t>KTADev2_randomaccess_jvet10_SEIDecodedPictureHash=1_SEIDecodedPictureHash=1_SEIDecodedPictureHash=1_dummy_ClassC_S01_q0_37_F500_T1</t>
  </si>
  <si>
    <t>KTADev2_randomaccess_jvet10_SEIDecodedPictureHash=1_SEIDecodedPictureHash=1_SEIDecodedPictureHash=1_dummy_ClassC_S02_q0_22_F600_T1</t>
  </si>
  <si>
    <t>KTADev2_randomaccess_jvet10_SEIDecodedPictureHash=1_SEIDecodedPictureHash=1_SEIDecodedPictureHash=1_dummy_ClassC_S02_q0_27_F600_T1</t>
  </si>
  <si>
    <t>KTADev2_randomaccess_jvet10_SEIDecodedPictureHash=1_SEIDecodedPictureHash=1_SEIDecodedPictureHash=1_dummy_ClassC_S02_q0_32_F600_T1</t>
  </si>
  <si>
    <t>KTADev2_randomaccess_jvet10_SEIDecodedPictureHash=1_SEIDecodedPictureHash=1_SEIDecodedPictureHash=1_dummy_ClassC_S02_q0_37_F600_T1</t>
  </si>
  <si>
    <t>KTADev2_randomaccess_jvet10_SEIDecodedPictureHash=1_SEIDecodedPictureHash=1_SEIDecodedPictureHash=1_dummy_ClassC_S03_q0_22_F500_T1</t>
  </si>
  <si>
    <t>KTADev2_randomaccess_jvet10_SEIDecodedPictureHash=1_SEIDecodedPictureHash=1_SEIDecodedPictureHash=1_dummy_ClassC_S03_q0_27_F500_T1</t>
  </si>
  <si>
    <t>KTADev2_randomaccess_jvet10_SEIDecodedPictureHash=1_SEIDecodedPictureHash=1_SEIDecodedPictureHash=1_dummy_ClassC_S03_q0_32_F500_T1</t>
  </si>
  <si>
    <t>KTADev2_randomaccess_jvet10_SEIDecodedPictureHash=1_SEIDecodedPictureHash=1_SEIDecodedPictureHash=1_dummy_ClassC_S03_q0_37_F500_T1</t>
  </si>
  <si>
    <t>KTADev2_randomaccess_jvet10_SEIDecodedPictureHash=1_SEIDecodedPictureHash=1_SEIDecodedPictureHash=1_dummy_ClassC_S04_q0_22_F300_T1</t>
  </si>
  <si>
    <t>KTADev2_randomaccess_jvet10_SEIDecodedPictureHash=1_SEIDecodedPictureHash=1_SEIDecodedPictureHash=1_dummy_ClassC_S04_q0_27_F300_T1</t>
  </si>
  <si>
    <t>KTADev2_randomaccess_jvet10_SEIDecodedPictureHash=1_SEIDecodedPictureHash=1_SEIDecodedPictureHash=1_dummy_ClassC_S04_q0_32_F300_T1</t>
  </si>
  <si>
    <t>KTADev2_randomaccess_jvet10_SEIDecodedPictureHash=1_SEIDecodedPictureHash=1_SEIDecodedPictureHash=1_dummy_ClassC_S04_q0_37_F300_T1</t>
  </si>
  <si>
    <t>KTADev2_randomaccess_jvet10_SEIDecodedPictureHash=1_SEIDecodedPictureHash=1_SEIDecodedPictureHash=1_dummy_ClassD_S01_q0_22_F500_T1</t>
  </si>
  <si>
    <t>KTADev2_randomaccess_jvet10_SEIDecodedPictureHash=1_SEIDecodedPictureHash=1_SEIDecodedPictureHash=1_dummy_ClassD_S01_q0_27_F500_T1</t>
  </si>
  <si>
    <t>KTADev2_randomaccess_jvet10_SEIDecodedPictureHash=1_SEIDecodedPictureHash=1_SEIDecodedPictureHash=1_dummy_ClassD_S01_q0_32_F500_T1</t>
  </si>
  <si>
    <t>KTADev2_randomaccess_jvet10_SEIDecodedPictureHash=1_SEIDecodedPictureHash=1_SEIDecodedPictureHash=1_dummy_ClassD_S01_q0_37_F500_T1</t>
  </si>
  <si>
    <t>KTADev2_randomaccess_jvet10_SEIDecodedPictureHash=1_SEIDecodedPictureHash=1_SEIDecodedPictureHash=1_dummy_ClassD_S02_q0_22_F600_T1</t>
  </si>
  <si>
    <t>KTADev2_randomaccess_jvet10_SEIDecodedPictureHash=1_SEIDecodedPictureHash=1_SEIDecodedPictureHash=1_dummy_ClassD_S02_q0_27_F600_T1</t>
  </si>
  <si>
    <t>KTADev2_randomaccess_jvet10_SEIDecodedPictureHash=1_SEIDecodedPictureHash=1_SEIDecodedPictureHash=1_dummy_ClassD_S02_q0_32_F600_T1</t>
  </si>
  <si>
    <t>KTADev2_randomaccess_jvet10_SEIDecodedPictureHash=1_SEIDecodedPictureHash=1_SEIDecodedPictureHash=1_dummy_ClassD_S02_q0_37_F600_T1</t>
  </si>
  <si>
    <t>KTADev2_randomaccess_jvet10_SEIDecodedPictureHash=1_SEIDecodedPictureHash=1_SEIDecodedPictureHash=1_dummy_ClassD_S03_q0_22_F500_T1</t>
  </si>
  <si>
    <t>KTADev2_randomaccess_jvet10_SEIDecodedPictureHash=1_SEIDecodedPictureHash=1_SEIDecodedPictureHash=1_dummy_ClassD_S03_q0_27_F500_T1</t>
  </si>
  <si>
    <t>KTADev2_randomaccess_jvet10_SEIDecodedPictureHash=1_SEIDecodedPictureHash=1_SEIDecodedPictureHash=1_dummy_ClassD_S03_q0_32_F500_T1</t>
  </si>
  <si>
    <t>KTADev2_randomaccess_jvet10_SEIDecodedPictureHash=1_SEIDecodedPictureHash=1_SEIDecodedPictureHash=1_dummy_ClassD_S03_q0_37_F500_T1</t>
  </si>
  <si>
    <t>KTADev2_randomaccess_jvet10_SEIDecodedPictureHash=1_SEIDecodedPictureHash=1_SEIDecodedPictureHash=1_dummy_ClassD_S04_q0_22_F300_T1</t>
  </si>
  <si>
    <t>KTADev2_randomaccess_jvet10_SEIDecodedPictureHash=1_SEIDecodedPictureHash=1_SEIDecodedPictureHash=1_dummy_ClassD_S04_q0_27_F300_T1</t>
  </si>
  <si>
    <t>KTADev2_randomaccess_jvet10_SEIDecodedPictureHash=1_SEIDecodedPictureHash=1_SEIDecodedPictureHash=1_dummy_ClassD_S04_q0_32_F300_T1</t>
  </si>
  <si>
    <t>KTADev2_randomaccess_jvet10_SEIDecodedPictureHash=1_SEIDecodedPictureHash=1_SEIDecodedPictureHash=1_dummy_ClassD_S04_q0_37_F300_T1</t>
  </si>
  <si>
    <t>KTADev2_randomaccess_jvet10_SEIDecodedPictureHash=1_SEIDecodedPictureHash=1_SEIDecodedPictureHash=1_dummy_ClassE_S01_q0_22_F600_T1</t>
  </si>
  <si>
    <t>KTADev2_randomaccess_jvet10_SEIDecodedPictureHash=1_SEIDecodedPictureHash=1_SEIDecodedPictureHash=1_dummy_ClassE_S01_q0_27_F600_T1</t>
  </si>
  <si>
    <t>KTADev2_randomaccess_jvet10_SEIDecodedPictureHash=1_SEIDecodedPictureHash=1_SEIDecodedPictureHash=1_dummy_ClassE_S01_q0_32_F600_T1</t>
  </si>
  <si>
    <t>KTADev2_randomaccess_jvet10_SEIDecodedPictureHash=1_SEIDecodedPictureHash=1_SEIDecodedPictureHash=1_dummy_ClassE_S01_q0_37_F600_T1</t>
  </si>
  <si>
    <t>KTADev2_randomaccess_jvet10_SEIDecodedPictureHash=1_SEIDecodedPictureHash=1_SEIDecodedPictureHash=1_dummy_ClassE_S02_q0_22_F600_T1</t>
  </si>
  <si>
    <t>KTADev2_randomaccess_jvet10_SEIDecodedPictureHash=1_SEIDecodedPictureHash=1_SEIDecodedPictureHash=1_dummy_ClassE_S02_q0_27_F600_T1</t>
  </si>
  <si>
    <t>KTADev2_randomaccess_jvet10_SEIDecodedPictureHash=1_SEIDecodedPictureHash=1_SEIDecodedPictureHash=1_dummy_ClassE_S02_q0_32_F600_T1</t>
  </si>
  <si>
    <t>KTADev2_randomaccess_jvet10_SEIDecodedPictureHash=1_SEIDecodedPictureHash=1_SEIDecodedPictureHash=1_dummy_ClassE_S02_q0_37_F600_T1</t>
  </si>
  <si>
    <t>KTADev2_randomaccess_jvet10_SEIDecodedPictureHash=1_SEIDecodedPictureHash=1_SEIDecodedPictureHash=1_dummy_ClassE_S03_q0_22_F600_T1</t>
  </si>
  <si>
    <t>KTADev2_randomaccess_jvet10_SEIDecodedPictureHash=1_SEIDecodedPictureHash=1_SEIDecodedPictureHash=1_dummy_ClassE_S03_q0_27_F600_T1</t>
  </si>
  <si>
    <t>KTADev2_randomaccess_jvet10_SEIDecodedPictureHash=1_SEIDecodedPictureHash=1_SEIDecodedPictureHash=1_dummy_ClassE_S03_q0_32_F600_T1</t>
  </si>
  <si>
    <t>KTADev2_randomaccess_jvet10_SEIDecodedPictureHash=1_SEIDecodedPictureHash=1_SEIDecodedPictureHash=1_dummy_ClassE_S03_q0_37_F600_T1</t>
  </si>
  <si>
    <t>KTADev2_randomaccess_jvet10_SEIDecodedPictureHash=1_SEIDecodedPictureHash=1_SEIDecodedPictureHash=1_dummy_ClassF_S01_q0_22_F500_T1</t>
  </si>
  <si>
    <t>KTADev2_randomaccess_jvet10_SEIDecodedPictureHash=1_SEIDecodedPictureHash=1_SEIDecodedPictureHash=1_dummy_ClassF_S01_q0_27_F500_T1</t>
  </si>
  <si>
    <t>KTADev2_randomaccess_jvet10_SEIDecodedPictureHash=1_SEIDecodedPictureHash=1_SEIDecodedPictureHash=1_dummy_ClassF_S01_q0_32_F500_T1</t>
  </si>
  <si>
    <t>KTADev2_randomaccess_jvet10_SEIDecodedPictureHash=1_SEIDecodedPictureHash=1_SEIDecodedPictureHash=1_dummy_ClassF_S01_q0_37_F500_T1</t>
  </si>
  <si>
    <t>KTADev2_randomaccess_jvet10_SEIDecodedPictureHash=1_SEIDecodedPictureHash=1_SEIDecodedPictureHash=1_dummy_ClassF_S02_q0_22_F500_T1</t>
  </si>
  <si>
    <t>KTADev2_randomaccess_jvet10_SEIDecodedPictureHash=1_SEIDecodedPictureHash=1_SEIDecodedPictureHash=1_dummy_ClassF_S02_q0_27_F500_T1</t>
  </si>
  <si>
    <t>KTADev2_randomaccess_jvet10_SEIDecodedPictureHash=1_SEIDecodedPictureHash=1_SEIDecodedPictureHash=1_dummy_ClassF_S02_q0_32_F500_T1</t>
  </si>
  <si>
    <t>KTADev2_randomaccess_jvet10_SEIDecodedPictureHash=1_SEIDecodedPictureHash=1_SEIDecodedPictureHash=1_dummy_ClassF_S02_q0_37_F500_T1</t>
  </si>
  <si>
    <t>KTADev2_randomaccess_jvet10_SEIDecodedPictureHash=1_SEIDecodedPictureHash=1_SEIDecodedPictureHash=1_dummy_ClassF_S03_q0_22_F300_T1</t>
  </si>
  <si>
    <t>KTADev2_randomaccess_jvet10_SEIDecodedPictureHash=1_SEIDecodedPictureHash=1_SEIDecodedPictureHash=1_dummy_ClassF_S03_q0_27_F300_T1</t>
  </si>
  <si>
    <t>KTADev2_randomaccess_jvet10_SEIDecodedPictureHash=1_SEIDecodedPictureHash=1_SEIDecodedPictureHash=1_dummy_ClassF_S03_q0_32_F300_T1</t>
  </si>
  <si>
    <t>KTADev2_randomaccess_jvet10_SEIDecodedPictureHash=1_SEIDecodedPictureHash=1_SEIDecodedPictureHash=1_dummy_ClassF_S03_q0_37_F300_T1</t>
  </si>
  <si>
    <t>KTADev2_randomaccess_jvet10_SEIDecodedPictureHash=1_SEIDecodedPictureHash=1_SEIDecodedPictureHash=1_dummy_ClassF_S04_q0_22_F500_T1</t>
  </si>
  <si>
    <t>KTADev2_randomaccess_jvet10_SEIDecodedPictureHash=1_SEIDecodedPictureHash=1_SEIDecodedPictureHash=1_dummy_ClassF_S04_q0_27_F500_T1</t>
  </si>
  <si>
    <t>KTADev2_randomaccess_jvet10_SEIDecodedPictureHash=1_SEIDecodedPictureHash=1_SEIDecodedPictureHash=1_dummy_ClassF_S04_q0_32_F500_T1</t>
  </si>
  <si>
    <t>KTADev2_randomaccess_jvet10_SEIDecodedPictureHash=1_SEIDecodedPictureHash=1_SEIDecodedPictureHash=1_dummy_ClassF_S04_q0_37_F500_T1</t>
  </si>
  <si>
    <t>KTADev2_lowdelay_jvet10_SEIDecodedPictureHash=1_SEIDecodedPictureHash=1_SEIDecodedPictureHash=1_dummy_ClassA1_S01_q0_22_F294_T1</t>
  </si>
  <si>
    <t>KTADev2_lowdelay_jvet10_SEIDecodedPictureHash=1_SEIDecodedPictureHash=1_SEIDecodedPictureHash=1_dummy_ClassA1_S01_q0_27_F294_T1</t>
  </si>
  <si>
    <t>KTADev2_lowdelay_jvet10_SEIDecodedPictureHash=1_SEIDecodedPictureHash=1_SEIDecodedPictureHash=1_dummy_ClassA1_S01_q0_32_F294_T1</t>
  </si>
  <si>
    <t>KTADev2_lowdelay_jvet10_SEIDecodedPictureHash=1_SEIDecodedPictureHash=1_SEIDecodedPictureHash=1_dummy_ClassA1_S01_q0_37_F294_T1</t>
  </si>
  <si>
    <t>KTADev2_lowdelay_jvet10_SEIDecodedPictureHash=1_SEIDecodedPictureHash=1_SEIDecodedPictureHash=1_dummy_ClassA1_S02_q0_22_F300_T1</t>
  </si>
  <si>
    <t>KTADev2_lowdelay_jvet10_SEIDecodedPictureHash=1_SEIDecodedPictureHash=1_SEIDecodedPictureHash=1_dummy_ClassA1_S02_q0_27_F300_T1</t>
  </si>
  <si>
    <t>KTADev2_lowdelay_jvet10_SEIDecodedPictureHash=1_SEIDecodedPictureHash=1_SEIDecodedPictureHash=1_dummy_ClassA1_S02_q0_32_F300_T1</t>
  </si>
  <si>
    <t>KTADev2_lowdelay_jvet10_SEIDecodedPictureHash=1_SEIDecodedPictureHash=1_SEIDecodedPictureHash=1_dummy_ClassA1_S02_q0_37_F300_T1</t>
  </si>
  <si>
    <t>KTADev2_lowdelay_jvet10_SEIDecodedPictureHash=1_SEIDecodedPictureHash=1_SEIDecodedPictureHash=1_dummy_ClassA1_S03_q0_22_F300_T1</t>
  </si>
  <si>
    <t>KTADev2_lowdelay_jvet10_SEIDecodedPictureHash=1_SEIDecodedPictureHash=1_SEIDecodedPictureHash=1_dummy_ClassA1_S03_q0_27_F300_T1</t>
  </si>
  <si>
    <t>KTADev2_lowdelay_jvet10_SEIDecodedPictureHash=1_SEIDecodedPictureHash=1_SEIDecodedPictureHash=1_dummy_ClassA1_S03_q0_32_F300_T1</t>
  </si>
  <si>
    <t>KTADev2_lowdelay_jvet10_SEIDecodedPictureHash=1_SEIDecodedPictureHash=1_SEIDecodedPictureHash=1_dummy_ClassA1_S03_q0_37_F300_T1</t>
  </si>
  <si>
    <t>KTADev2_lowdelay_jvet10_SEIDecodedPictureHash=1_SEIDecodedPictureHash=1_SEIDecodedPictureHash=1_dummy_ClassA1_S04_q0_22_F300_T1</t>
  </si>
  <si>
    <t>KTADev2_lowdelay_jvet10_SEIDecodedPictureHash=1_SEIDecodedPictureHash=1_SEIDecodedPictureHash=1_dummy_ClassA1_S04_q0_27_F300_T1</t>
  </si>
  <si>
    <t>KTADev2_lowdelay_jvet10_SEIDecodedPictureHash=1_SEIDecodedPictureHash=1_SEIDecodedPictureHash=1_dummy_ClassA1_S04_q0_32_F300_T1</t>
  </si>
  <si>
    <t>KTADev2_lowdelay_jvet10_SEIDecodedPictureHash=1_SEIDecodedPictureHash=1_SEIDecodedPictureHash=1_dummy_ClassA1_S04_q0_37_F300_T1</t>
  </si>
  <si>
    <t>KTADev2_lowdelay_jvet10_SEIDecodedPictureHash=1_SEIDecodedPictureHash=1_SEIDecodedPictureHash=1_dummy_ClassA2_S01_q0_22_F300_T1</t>
  </si>
  <si>
    <t>KTADev2_lowdelay_jvet10_SEIDecodedPictureHash=1_SEIDecodedPictureHash=1_SEIDecodedPictureHash=1_dummy_ClassA2_S01_q0_27_F300_T1</t>
  </si>
  <si>
    <t>KTADev2_lowdelay_jvet10_SEIDecodedPictureHash=1_SEIDecodedPictureHash=1_SEIDecodedPictureHash=1_dummy_ClassA2_S01_q0_32_F300_T1</t>
  </si>
  <si>
    <t>KTADev2_lowdelay_jvet10_SEIDecodedPictureHash=1_SEIDecodedPictureHash=1_SEIDecodedPictureHash=1_dummy_ClassA2_S01_q0_37_F300_T1</t>
  </si>
  <si>
    <t>KTADev2_lowdelay_jvet10_SEIDecodedPictureHash=1_SEIDecodedPictureHash=1_SEIDecodedPictureHash=1_dummy_ClassA2_S02_q0_22_F300_T1</t>
  </si>
  <si>
    <t>KTADev2_lowdelay_jvet10_SEIDecodedPictureHash=1_SEIDecodedPictureHash=1_SEIDecodedPictureHash=1_dummy_ClassA2_S02_q0_27_F300_T1</t>
  </si>
  <si>
    <t>KTADev2_lowdelay_jvet10_SEIDecodedPictureHash=1_SEIDecodedPictureHash=1_SEIDecodedPictureHash=1_dummy_ClassA2_S02_q0_32_F300_T1</t>
  </si>
  <si>
    <t>KTADev2_lowdelay_jvet10_SEIDecodedPictureHash=1_SEIDecodedPictureHash=1_SEIDecodedPictureHash=1_dummy_ClassA2_S02_q0_37_F300_T1</t>
  </si>
  <si>
    <t>KTADev2_lowdelay_jvet10_SEIDecodedPictureHash=1_SEIDecodedPictureHash=1_SEIDecodedPictureHash=1_dummy_ClassA2_S03_q0_22_F300_T1</t>
  </si>
  <si>
    <t>KTADev2_lowdelay_jvet10_SEIDecodedPictureHash=1_SEIDecodedPictureHash=1_SEIDecodedPictureHash=1_dummy_ClassA2_S03_q0_27_F300_T1</t>
  </si>
  <si>
    <t>KTADev2_lowdelay_jvet10_SEIDecodedPictureHash=1_SEIDecodedPictureHash=1_SEIDecodedPictureHash=1_dummy_ClassA2_S03_q0_32_F300_T1</t>
  </si>
  <si>
    <t>KTADev2_lowdelay_jvet10_SEIDecodedPictureHash=1_SEIDecodedPictureHash=1_SEIDecodedPictureHash=1_dummy_ClassA2_S03_q0_37_F300_T1</t>
  </si>
  <si>
    <t>KTADev2_lowdelay_jvet10_SEIDecodedPictureHash=1_SEIDecodedPictureHash=1_SEIDecodedPictureHash=1_dummy_ClassA2_S04_q0_22_F300_T1</t>
  </si>
  <si>
    <t>KTADev2_lowdelay_jvet10_SEIDecodedPictureHash=1_SEIDecodedPictureHash=1_SEIDecodedPictureHash=1_dummy_ClassA2_S04_q0_27_F300_T1</t>
  </si>
  <si>
    <t>KTADev2_lowdelay_jvet10_SEIDecodedPictureHash=1_SEIDecodedPictureHash=1_SEIDecodedPictureHash=1_dummy_ClassA2_S04_q0_32_F300_T1</t>
  </si>
  <si>
    <t>KTADev2_lowdelay_jvet10_SEIDecodedPictureHash=1_SEIDecodedPictureHash=1_SEIDecodedPictureHash=1_dummy_ClassA2_S04_q0_37_F300_T1</t>
  </si>
  <si>
    <t>KTADev2_lowdelay_jvet10_SEIDecodedPictureHash=1_SEIDecodedPictureHash=1_SEIDecodedPictureHash=1_dummy_ClassB_S01_q0_22_F240_T1</t>
  </si>
  <si>
    <t>KTADev2_lowdelay_jvet10_SEIDecodedPictureHash=1_SEIDecodedPictureHash=1_SEIDecodedPictureHash=1_dummy_ClassB_S01_q0_27_F240_T1</t>
  </si>
  <si>
    <t>KTADev2_lowdelay_jvet10_SEIDecodedPictureHash=1_SEIDecodedPictureHash=1_SEIDecodedPictureHash=1_dummy_ClassB_S01_q0_32_F240_T1</t>
  </si>
  <si>
    <t>KTADev2_lowdelay_jvet10_SEIDecodedPictureHash=1_SEIDecodedPictureHash=1_SEIDecodedPictureHash=1_dummy_ClassB_S01_q0_37_F240_T1</t>
  </si>
  <si>
    <t>KTADev2_lowdelay_jvet10_SEIDecodedPictureHash=1_SEIDecodedPictureHash=1_SEIDecodedPictureHash=1_dummy_ClassB_S02_q0_22_F240_T1</t>
  </si>
  <si>
    <t>KTADev2_lowdelay_jvet10_SEIDecodedPictureHash=1_SEIDecodedPictureHash=1_SEIDecodedPictureHash=1_dummy_ClassB_S02_q0_27_F240_T1</t>
  </si>
  <si>
    <t>KTADev2_lowdelay_jvet10_SEIDecodedPictureHash=1_SEIDecodedPictureHash=1_SEIDecodedPictureHash=1_dummy_ClassB_S02_q0_32_F240_T1</t>
  </si>
  <si>
    <t>KTADev2_lowdelay_jvet10_SEIDecodedPictureHash=1_SEIDecodedPictureHash=1_SEIDecodedPictureHash=1_dummy_ClassB_S02_q0_37_F240_T1</t>
  </si>
  <si>
    <t>KTADev2_lowdelay_jvet10_SEIDecodedPictureHash=1_SEIDecodedPictureHash=1_SEIDecodedPictureHash=1_dummy_ClassB_S03_q0_22_F500_T1</t>
  </si>
  <si>
    <t>KTADev2_lowdelay_jvet10_SEIDecodedPictureHash=1_SEIDecodedPictureHash=1_SEIDecodedPictureHash=1_dummy_ClassB_S03_q0_27_F500_T1</t>
  </si>
  <si>
    <t>KTADev2_lowdelay_jvet10_SEIDecodedPictureHash=1_SEIDecodedPictureHash=1_SEIDecodedPictureHash=1_dummy_ClassB_S03_q0_32_F500_T1</t>
  </si>
  <si>
    <t>KTADev2_lowdelay_jvet10_SEIDecodedPictureHash=1_SEIDecodedPictureHash=1_SEIDecodedPictureHash=1_dummy_ClassB_S03_q0_37_F500_T1</t>
  </si>
  <si>
    <t>KTADev2_lowdelay_jvet10_SEIDecodedPictureHash=1_SEIDecodedPictureHash=1_SEIDecodedPictureHash=1_dummy_ClassB_S04_q0_22_F500_T1</t>
  </si>
  <si>
    <t>KTADev2_lowdelay_jvet10_SEIDecodedPictureHash=1_SEIDecodedPictureHash=1_SEIDecodedPictureHash=1_dummy_ClassB_S04_q0_27_F500_T1</t>
  </si>
  <si>
    <t>KTADev2_lowdelay_jvet10_SEIDecodedPictureHash=1_SEIDecodedPictureHash=1_SEIDecodedPictureHash=1_dummy_ClassB_S04_q0_32_F500_T1</t>
  </si>
  <si>
    <t>KTADev2_lowdelay_jvet10_SEIDecodedPictureHash=1_SEIDecodedPictureHash=1_SEIDecodedPictureHash=1_dummy_ClassB_S04_q0_37_F500_T1</t>
  </si>
  <si>
    <t>KTADev2_lowdelay_jvet10_SEIDecodedPictureHash=1_SEIDecodedPictureHash=1_SEIDecodedPictureHash=1_dummy_ClassB_S05_q0_22_F600_T1</t>
  </si>
  <si>
    <t>KTADev2_lowdelay_jvet10_SEIDecodedPictureHash=1_SEIDecodedPictureHash=1_SEIDecodedPictureHash=1_dummy_ClassB_S05_q0_27_F600_T1</t>
  </si>
  <si>
    <t>KTADev2_lowdelay_jvet10_SEIDecodedPictureHash=1_SEIDecodedPictureHash=1_SEIDecodedPictureHash=1_dummy_ClassB_S05_q0_32_F600_T1</t>
  </si>
  <si>
    <t>KTADev2_lowdelay_jvet10_SEIDecodedPictureHash=1_SEIDecodedPictureHash=1_SEIDecodedPictureHash=1_dummy_ClassB_S05_q0_37_F600_T1</t>
  </si>
  <si>
    <t>KTADev2_lowdelay_jvet10_SEIDecodedPictureHash=1_SEIDecodedPictureHash=1_SEIDecodedPictureHash=1_dummy_ClassC_S01_q0_22_F500_T1</t>
  </si>
  <si>
    <t>KTADev2_lowdelay_jvet10_SEIDecodedPictureHash=1_SEIDecodedPictureHash=1_SEIDecodedPictureHash=1_dummy_ClassC_S01_q0_27_F500_T1</t>
  </si>
  <si>
    <t>KTADev2_lowdelay_jvet10_SEIDecodedPictureHash=1_SEIDecodedPictureHash=1_SEIDecodedPictureHash=1_dummy_ClassC_S01_q0_32_F500_T1</t>
  </si>
  <si>
    <t>KTADev2_lowdelay_jvet10_SEIDecodedPictureHash=1_SEIDecodedPictureHash=1_SEIDecodedPictureHash=1_dummy_ClassC_S01_q0_37_F500_T1</t>
  </si>
  <si>
    <t>KTADev2_lowdelay_jvet10_SEIDecodedPictureHash=1_SEIDecodedPictureHash=1_SEIDecodedPictureHash=1_dummy_ClassC_S02_q0_22_F600_T1</t>
  </si>
  <si>
    <t>KTADev2_lowdelay_jvet10_SEIDecodedPictureHash=1_SEIDecodedPictureHash=1_SEIDecodedPictureHash=1_dummy_ClassC_S02_q0_27_F600_T1</t>
  </si>
  <si>
    <t>KTADev2_lowdelay_jvet10_SEIDecodedPictureHash=1_SEIDecodedPictureHash=1_SEIDecodedPictureHash=1_dummy_ClassC_S02_q0_32_F600_T1</t>
  </si>
  <si>
    <t>KTADev2_lowdelay_jvet10_SEIDecodedPictureHash=1_SEIDecodedPictureHash=1_SEIDecodedPictureHash=1_dummy_ClassC_S02_q0_37_F600_T1</t>
  </si>
  <si>
    <t>KTADev2_lowdelay_jvet10_SEIDecodedPictureHash=1_SEIDecodedPictureHash=1_SEIDecodedPictureHash=1_dummy_ClassC_S03_q0_22_F500_T1</t>
  </si>
  <si>
    <t>KTADev2_lowdelay_jvet10_SEIDecodedPictureHash=1_SEIDecodedPictureHash=1_SEIDecodedPictureHash=1_dummy_ClassC_S03_q0_27_F500_T1</t>
  </si>
  <si>
    <t>KTADev2_lowdelay_jvet10_SEIDecodedPictureHash=1_SEIDecodedPictureHash=1_SEIDecodedPictureHash=1_dummy_ClassC_S03_q0_32_F500_T1</t>
  </si>
  <si>
    <t>KTADev2_lowdelay_jvet10_SEIDecodedPictureHash=1_SEIDecodedPictureHash=1_SEIDecodedPictureHash=1_dummy_ClassC_S03_q0_37_F500_T1</t>
  </si>
  <si>
    <t>KTADev2_lowdelay_jvet10_SEIDecodedPictureHash=1_SEIDecodedPictureHash=1_SEIDecodedPictureHash=1_dummy_ClassC_S04_q0_22_F300_T1</t>
  </si>
  <si>
    <t>KTADev2_lowdelay_jvet10_SEIDecodedPictureHash=1_SEIDecodedPictureHash=1_SEIDecodedPictureHash=1_dummy_ClassC_S04_q0_27_F300_T1</t>
  </si>
  <si>
    <t>KTADev2_lowdelay_jvet10_SEIDecodedPictureHash=1_SEIDecodedPictureHash=1_SEIDecodedPictureHash=1_dummy_ClassC_S04_q0_32_F300_T1</t>
  </si>
  <si>
    <t>KTADev2_lowdelay_jvet10_SEIDecodedPictureHash=1_SEIDecodedPictureHash=1_SEIDecodedPictureHash=1_dummy_ClassC_S04_q0_37_F300_T1</t>
  </si>
  <si>
    <t>KTADev2_lowdelay_jvet10_SEIDecodedPictureHash=1_SEIDecodedPictureHash=1_SEIDecodedPictureHash=1_dummy_ClassD_S01_q0_22_F500_T1</t>
  </si>
  <si>
    <t>KTADev2_lowdelay_jvet10_SEIDecodedPictureHash=1_SEIDecodedPictureHash=1_SEIDecodedPictureHash=1_dummy_ClassD_S01_q0_27_F500_T1</t>
  </si>
  <si>
    <t>KTADev2_lowdelay_jvet10_SEIDecodedPictureHash=1_SEIDecodedPictureHash=1_SEIDecodedPictureHash=1_dummy_ClassD_S01_q0_32_F500_T1</t>
  </si>
  <si>
    <t>KTADev2_lowdelay_jvet10_SEIDecodedPictureHash=1_SEIDecodedPictureHash=1_SEIDecodedPictureHash=1_dummy_ClassD_S01_q0_37_F500_T1</t>
  </si>
  <si>
    <t>KTADev2_lowdelay_jvet10_SEIDecodedPictureHash=1_SEIDecodedPictureHash=1_SEIDecodedPictureHash=1_dummy_ClassD_S02_q0_22_F600_T1</t>
  </si>
  <si>
    <t>KTADev2_lowdelay_jvet10_SEIDecodedPictureHash=1_SEIDecodedPictureHash=1_SEIDecodedPictureHash=1_dummy_ClassD_S02_q0_27_F600_T1</t>
  </si>
  <si>
    <t>KTADev2_lowdelay_jvet10_SEIDecodedPictureHash=1_SEIDecodedPictureHash=1_SEIDecodedPictureHash=1_dummy_ClassD_S02_q0_32_F600_T1</t>
  </si>
  <si>
    <t>KTADev2_lowdelay_jvet10_SEIDecodedPictureHash=1_SEIDecodedPictureHash=1_SEIDecodedPictureHash=1_dummy_ClassD_S02_q0_37_F600_T1</t>
  </si>
  <si>
    <t>KTADev2_lowdelay_jvet10_SEIDecodedPictureHash=1_SEIDecodedPictureHash=1_SEIDecodedPictureHash=1_dummy_ClassD_S03_q0_22_F500_T1</t>
  </si>
  <si>
    <t>KTADev2_lowdelay_jvet10_SEIDecodedPictureHash=1_SEIDecodedPictureHash=1_SEIDecodedPictureHash=1_dummy_ClassD_S03_q0_27_F500_T1</t>
  </si>
  <si>
    <t>KTADev2_lowdelay_jvet10_SEIDecodedPictureHash=1_SEIDecodedPictureHash=1_SEIDecodedPictureHash=1_dummy_ClassD_S03_q0_32_F500_T1</t>
  </si>
  <si>
    <t>KTADev2_lowdelay_jvet10_SEIDecodedPictureHash=1_SEIDecodedPictureHash=1_SEIDecodedPictureHash=1_dummy_ClassD_S03_q0_37_F500_T1</t>
  </si>
  <si>
    <t>KTADev2_lowdelay_jvet10_SEIDecodedPictureHash=1_SEIDecodedPictureHash=1_SEIDecodedPictureHash=1_dummy_ClassD_S04_q0_22_F300_T1</t>
  </si>
  <si>
    <t>KTADev2_lowdelay_jvet10_SEIDecodedPictureHash=1_SEIDecodedPictureHash=1_SEIDecodedPictureHash=1_dummy_ClassD_S04_q0_27_F300_T1</t>
  </si>
  <si>
    <t>KTADev2_lowdelay_jvet10_SEIDecodedPictureHash=1_SEIDecodedPictureHash=1_SEIDecodedPictureHash=1_dummy_ClassD_S04_q0_32_F300_T1</t>
  </si>
  <si>
    <t>KTADev2_lowdelay_jvet10_SEIDecodedPictureHash=1_SEIDecodedPictureHash=1_SEIDecodedPictureHash=1_dummy_ClassD_S04_q0_37_F300_T1</t>
  </si>
  <si>
    <t>KTADev2_lowdelay_jvet10_SEIDecodedPictureHash=1_SEIDecodedPictureHash=1_SEIDecodedPictureHash=1_dummy_ClassE_S01_q0_22_F600_T1</t>
  </si>
  <si>
    <t>KTADev2_lowdelay_jvet10_SEIDecodedPictureHash=1_SEIDecodedPictureHash=1_SEIDecodedPictureHash=1_dummy_ClassE_S01_q0_27_F600_T1</t>
  </si>
  <si>
    <t>KTADev2_lowdelay_jvet10_SEIDecodedPictureHash=1_SEIDecodedPictureHash=1_SEIDecodedPictureHash=1_dummy_ClassE_S01_q0_32_F600_T1</t>
  </si>
  <si>
    <t>KTADev2_lowdelay_jvet10_SEIDecodedPictureHash=1_SEIDecodedPictureHash=1_SEIDecodedPictureHash=1_dummy_ClassE_S01_q0_37_F600_T1</t>
  </si>
  <si>
    <t>KTADev2_lowdelay_jvet10_SEIDecodedPictureHash=1_SEIDecodedPictureHash=1_SEIDecodedPictureHash=1_dummy_ClassE_S02_q0_22_F600_T1</t>
  </si>
  <si>
    <t>KTADev2_lowdelay_jvet10_SEIDecodedPictureHash=1_SEIDecodedPictureHash=1_SEIDecodedPictureHash=1_dummy_ClassE_S02_q0_27_F600_T1</t>
  </si>
  <si>
    <t>KTADev2_lowdelay_jvet10_SEIDecodedPictureHash=1_SEIDecodedPictureHash=1_SEIDecodedPictureHash=1_dummy_ClassE_S02_q0_32_F600_T1</t>
  </si>
  <si>
    <t>KTADev2_lowdelay_jvet10_SEIDecodedPictureHash=1_SEIDecodedPictureHash=1_SEIDecodedPictureHash=1_dummy_ClassE_S02_q0_37_F600_T1</t>
  </si>
  <si>
    <t>KTADev2_lowdelay_jvet10_SEIDecodedPictureHash=1_SEIDecodedPictureHash=1_SEIDecodedPictureHash=1_dummy_ClassE_S03_q0_22_F600_T1</t>
  </si>
  <si>
    <t>KTADev2_lowdelay_jvet10_SEIDecodedPictureHash=1_SEIDecodedPictureHash=1_SEIDecodedPictureHash=1_dummy_ClassE_S03_q0_27_F600_T1</t>
  </si>
  <si>
    <t>KTADev2_lowdelay_jvet10_SEIDecodedPictureHash=1_SEIDecodedPictureHash=1_SEIDecodedPictureHash=1_dummy_ClassE_S03_q0_32_F600_T1</t>
  </si>
  <si>
    <t>KTADev2_lowdelay_jvet10_SEIDecodedPictureHash=1_SEIDecodedPictureHash=1_SEIDecodedPictureHash=1_dummy_ClassE_S03_q0_37_F600_T1</t>
  </si>
  <si>
    <t>KTADev2_lowdelay_jvet10_SEIDecodedPictureHash=1_SEIDecodedPictureHash=1_SEIDecodedPictureHash=1_dummy_ClassF_S01_q0_22_F500_T1</t>
  </si>
  <si>
    <t>KTADev2_lowdelay_jvet10_SEIDecodedPictureHash=1_SEIDecodedPictureHash=1_SEIDecodedPictureHash=1_dummy_ClassF_S01_q0_27_F500_T1</t>
  </si>
  <si>
    <t>KTADev2_lowdelay_jvet10_SEIDecodedPictureHash=1_SEIDecodedPictureHash=1_SEIDecodedPictureHash=1_dummy_ClassF_S01_q0_32_F500_T1</t>
  </si>
  <si>
    <t>KTADev2_lowdelay_jvet10_SEIDecodedPictureHash=1_SEIDecodedPictureHash=1_SEIDecodedPictureHash=1_dummy_ClassF_S01_q0_37_F500_T1</t>
  </si>
  <si>
    <t>KTADev2_lowdelay_jvet10_SEIDecodedPictureHash=1_SEIDecodedPictureHash=1_SEIDecodedPictureHash=1_dummy_ClassF_S02_q0_22_F500_T1</t>
  </si>
  <si>
    <t>KTADev2_lowdelay_jvet10_SEIDecodedPictureHash=1_SEIDecodedPictureHash=1_SEIDecodedPictureHash=1_dummy_ClassF_S02_q0_27_F500_T1</t>
  </si>
  <si>
    <t>KTADev2_lowdelay_jvet10_SEIDecodedPictureHash=1_SEIDecodedPictureHash=1_SEIDecodedPictureHash=1_dummy_ClassF_S02_q0_32_F500_T1</t>
  </si>
  <si>
    <t>KTADev2_lowdelay_jvet10_SEIDecodedPictureHash=1_SEIDecodedPictureHash=1_SEIDecodedPictureHash=1_dummy_ClassF_S02_q0_37_F500_T1</t>
  </si>
  <si>
    <t>KTADev2_lowdelay_jvet10_SEIDecodedPictureHash=1_SEIDecodedPictureHash=1_SEIDecodedPictureHash=1_dummy_ClassF_S03_q0_22_F300_T1</t>
  </si>
  <si>
    <t>KTADev2_lowdelay_jvet10_SEIDecodedPictureHash=1_SEIDecodedPictureHash=1_SEIDecodedPictureHash=1_dummy_ClassF_S03_q0_27_F300_T1</t>
  </si>
  <si>
    <t>KTADev2_lowdelay_jvet10_SEIDecodedPictureHash=1_SEIDecodedPictureHash=1_SEIDecodedPictureHash=1_dummy_ClassF_S03_q0_32_F300_T1</t>
  </si>
  <si>
    <t>KTADev2_lowdelay_jvet10_SEIDecodedPictureHash=1_SEIDecodedPictureHash=1_SEIDecodedPictureHash=1_dummy_ClassF_S03_q0_37_F300_T1</t>
  </si>
  <si>
    <t>KTADev2_lowdelay_jvet10_SEIDecodedPictureHash=1_SEIDecodedPictureHash=1_SEIDecodedPictureHash=1_dummy_ClassF_S04_q0_22_F500_T1</t>
  </si>
  <si>
    <t>KTADev2_lowdelay_jvet10_SEIDecodedPictureHash=1_SEIDecodedPictureHash=1_SEIDecodedPictureHash=1_dummy_ClassF_S04_q0_27_F500_T1</t>
  </si>
  <si>
    <t>KTADev2_lowdelay_jvet10_SEIDecodedPictureHash=1_SEIDecodedPictureHash=1_SEIDecodedPictureHash=1_dummy_ClassF_S04_q0_32_F500_T1</t>
  </si>
  <si>
    <t>KTADev2_lowdelay_jvet10_SEIDecodedPictureHash=1_SEIDecodedPictureHash=1_SEIDecodedPictureHash=1_dummy_ClassF_S04_q0_37_F500_T1</t>
  </si>
  <si>
    <t>KTADev2_lowdelay_P_jvet10_SEIDecodedPictureHash=1_SEIDecodedPictureHash=1_SEIDecodedPictureHash=1_dummy_ClassA1_S01_q0_22_F294_T1</t>
  </si>
  <si>
    <t>KTADev2_lowdelay_P_jvet10_SEIDecodedPictureHash=1_SEIDecodedPictureHash=1_SEIDecodedPictureHash=1_dummy_ClassA1_S01_q0_27_F294_T1</t>
  </si>
  <si>
    <t>KTADev2_lowdelay_P_jvet10_SEIDecodedPictureHash=1_SEIDecodedPictureHash=1_SEIDecodedPictureHash=1_dummy_ClassA1_S01_q0_32_F294_T1</t>
  </si>
  <si>
    <t>KTADev2_lowdelay_P_jvet10_SEIDecodedPictureHash=1_SEIDecodedPictureHash=1_SEIDecodedPictureHash=1_dummy_ClassA1_S01_q0_37_F294_T1</t>
  </si>
  <si>
    <t>KTADev2_lowdelay_P_jvet10_SEIDecodedPictureHash=1_SEIDecodedPictureHash=1_SEIDecodedPictureHash=1_dummy_ClassA1_S02_q0_22_F300_T1</t>
  </si>
  <si>
    <t>KTADev2_lowdelay_P_jvet10_SEIDecodedPictureHash=1_SEIDecodedPictureHash=1_SEIDecodedPictureHash=1_dummy_ClassA1_S02_q0_27_F300_T1</t>
  </si>
  <si>
    <t>KTADev2_lowdelay_P_jvet10_SEIDecodedPictureHash=1_SEIDecodedPictureHash=1_SEIDecodedPictureHash=1_dummy_ClassA1_S02_q0_32_F300_T1</t>
  </si>
  <si>
    <t>KTADev2_lowdelay_P_jvet10_SEIDecodedPictureHash=1_SEIDecodedPictureHash=1_SEIDecodedPictureHash=1_dummy_ClassA1_S02_q0_37_F300_T1</t>
  </si>
  <si>
    <t>KTADev2_lowdelay_P_jvet10_SEIDecodedPictureHash=1_SEIDecodedPictureHash=1_SEIDecodedPictureHash=1_dummy_ClassA1_S03_q0_22_F300_T1</t>
  </si>
  <si>
    <t>KTADev2_lowdelay_P_jvet10_SEIDecodedPictureHash=1_SEIDecodedPictureHash=1_SEIDecodedPictureHash=1_dummy_ClassA1_S03_q0_27_F300_T1</t>
  </si>
  <si>
    <t>KTADev2_lowdelay_P_jvet10_SEIDecodedPictureHash=1_SEIDecodedPictureHash=1_SEIDecodedPictureHash=1_dummy_ClassA1_S03_q0_32_F300_T1</t>
  </si>
  <si>
    <t>KTADev2_lowdelay_P_jvet10_SEIDecodedPictureHash=1_SEIDecodedPictureHash=1_SEIDecodedPictureHash=1_dummy_ClassA1_S03_q0_37_F300_T1</t>
  </si>
  <si>
    <t>KTADev2_lowdelay_P_jvet10_SEIDecodedPictureHash=1_SEIDecodedPictureHash=1_SEIDecodedPictureHash=1_dummy_ClassA1_S04_q0_22_F300_T1</t>
  </si>
  <si>
    <t>KTADev2_lowdelay_P_jvet10_SEIDecodedPictureHash=1_SEIDecodedPictureHash=1_SEIDecodedPictureHash=1_dummy_ClassA1_S04_q0_27_F300_T1</t>
  </si>
  <si>
    <t>KTADev2_lowdelay_P_jvet10_SEIDecodedPictureHash=1_SEIDecodedPictureHash=1_SEIDecodedPictureHash=1_dummy_ClassA1_S04_q0_32_F300_T1</t>
  </si>
  <si>
    <t>KTADev2_lowdelay_P_jvet10_SEIDecodedPictureHash=1_SEIDecodedPictureHash=1_SEIDecodedPictureHash=1_dummy_ClassA1_S04_q0_37_F300_T1</t>
  </si>
  <si>
    <t>KTADev2_lowdelay_P_jvet10_SEIDecodedPictureHash=1_SEIDecodedPictureHash=1_SEIDecodedPictureHash=1_dummy_ClassA2_S01_q0_22_F300_T1</t>
  </si>
  <si>
    <t>KTADev2_lowdelay_P_jvet10_SEIDecodedPictureHash=1_SEIDecodedPictureHash=1_SEIDecodedPictureHash=1_dummy_ClassA2_S01_q0_27_F300_T1</t>
  </si>
  <si>
    <t>KTADev2_lowdelay_P_jvet10_SEIDecodedPictureHash=1_SEIDecodedPictureHash=1_SEIDecodedPictureHash=1_dummy_ClassA2_S01_q0_32_F300_T1</t>
  </si>
  <si>
    <t>KTADev2_lowdelay_P_jvet10_SEIDecodedPictureHash=1_SEIDecodedPictureHash=1_SEIDecodedPictureHash=1_dummy_ClassA2_S01_q0_37_F300_T1</t>
  </si>
  <si>
    <t>KTADev2_lowdelay_P_jvet10_SEIDecodedPictureHash=1_SEIDecodedPictureHash=1_SEIDecodedPictureHash=1_dummy_ClassA2_S02_q0_22_F300_T1</t>
  </si>
  <si>
    <t>KTADev2_lowdelay_P_jvet10_SEIDecodedPictureHash=1_SEIDecodedPictureHash=1_SEIDecodedPictureHash=1_dummy_ClassA2_S02_q0_27_F300_T1</t>
  </si>
  <si>
    <t>KTADev2_lowdelay_P_jvet10_SEIDecodedPictureHash=1_SEIDecodedPictureHash=1_SEIDecodedPictureHash=1_dummy_ClassA2_S02_q0_32_F300_T1</t>
  </si>
  <si>
    <t>KTADev2_lowdelay_P_jvet10_SEIDecodedPictureHash=1_SEIDecodedPictureHash=1_SEIDecodedPictureHash=1_dummy_ClassA2_S02_q0_37_F300_T1</t>
  </si>
  <si>
    <t>KTADev2_lowdelay_P_jvet10_SEIDecodedPictureHash=1_SEIDecodedPictureHash=1_SEIDecodedPictureHash=1_dummy_ClassA2_S03_q0_22_F300_T1</t>
  </si>
  <si>
    <t>KTADev2_lowdelay_P_jvet10_SEIDecodedPictureHash=1_SEIDecodedPictureHash=1_SEIDecodedPictureHash=1_dummy_ClassA2_S03_q0_27_F300_T1</t>
  </si>
  <si>
    <t>KTADev2_lowdelay_P_jvet10_SEIDecodedPictureHash=1_SEIDecodedPictureHash=1_SEIDecodedPictureHash=1_dummy_ClassA2_S03_q0_32_F300_T1</t>
  </si>
  <si>
    <t>KTADev2_lowdelay_P_jvet10_SEIDecodedPictureHash=1_SEIDecodedPictureHash=1_SEIDecodedPictureHash=1_dummy_ClassA2_S03_q0_37_F300_T1</t>
  </si>
  <si>
    <t>KTADev2_lowdelay_P_jvet10_SEIDecodedPictureHash=1_SEIDecodedPictureHash=1_SEIDecodedPictureHash=1_dummy_ClassA2_S04_q0_22_F300_T1</t>
  </si>
  <si>
    <t>KTADev2_lowdelay_P_jvet10_SEIDecodedPictureHash=1_SEIDecodedPictureHash=1_SEIDecodedPictureHash=1_dummy_ClassA2_S04_q0_27_F300_T1</t>
  </si>
  <si>
    <t>KTADev2_lowdelay_P_jvet10_SEIDecodedPictureHash=1_SEIDecodedPictureHash=1_SEIDecodedPictureHash=1_dummy_ClassA2_S04_q0_32_F300_T1</t>
  </si>
  <si>
    <t>KTADev2_lowdelay_P_jvet10_SEIDecodedPictureHash=1_SEIDecodedPictureHash=1_SEIDecodedPictureHash=1_dummy_ClassA2_S04_q0_37_F300_T1</t>
  </si>
  <si>
    <t>KTADev2_lowdelay_P_jvet10_SEIDecodedPictureHash=1_SEIDecodedPictureHash=1_SEIDecodedPictureHash=1_dummy_ClassB_S01_q0_22_F240_T1</t>
  </si>
  <si>
    <t>KTADev2_lowdelay_P_jvet10_SEIDecodedPictureHash=1_SEIDecodedPictureHash=1_SEIDecodedPictureHash=1_dummy_ClassB_S01_q0_27_F240_T1</t>
  </si>
  <si>
    <t>KTADev2_lowdelay_P_jvet10_SEIDecodedPictureHash=1_SEIDecodedPictureHash=1_SEIDecodedPictureHash=1_dummy_ClassB_S01_q0_32_F240_T1</t>
  </si>
  <si>
    <t>KTADev2_lowdelay_P_jvet10_SEIDecodedPictureHash=1_SEIDecodedPictureHash=1_SEIDecodedPictureHash=1_dummy_ClassB_S01_q0_37_F240_T1</t>
  </si>
  <si>
    <t>KTADev2_lowdelay_P_jvet10_SEIDecodedPictureHash=1_SEIDecodedPictureHash=1_SEIDecodedPictureHash=1_dummy_ClassB_S02_q0_22_F240_T1</t>
  </si>
  <si>
    <t>KTADev2_lowdelay_P_jvet10_SEIDecodedPictureHash=1_SEIDecodedPictureHash=1_SEIDecodedPictureHash=1_dummy_ClassB_S02_q0_27_F240_T1</t>
  </si>
  <si>
    <t>KTADev2_lowdelay_P_jvet10_SEIDecodedPictureHash=1_SEIDecodedPictureHash=1_SEIDecodedPictureHash=1_dummy_ClassB_S02_q0_32_F240_T1</t>
  </si>
  <si>
    <t>KTADev2_lowdelay_P_jvet10_SEIDecodedPictureHash=1_SEIDecodedPictureHash=1_SEIDecodedPictureHash=1_dummy_ClassB_S02_q0_37_F240_T1</t>
  </si>
  <si>
    <t>KTADev2_lowdelay_P_jvet10_SEIDecodedPictureHash=1_SEIDecodedPictureHash=1_SEIDecodedPictureHash=1_dummy_ClassB_S03_q0_22_F500_T1</t>
  </si>
  <si>
    <t>KTADev2_lowdelay_P_jvet10_SEIDecodedPictureHash=1_SEIDecodedPictureHash=1_SEIDecodedPictureHash=1_dummy_ClassB_S03_q0_27_F500_T1</t>
  </si>
  <si>
    <t>KTADev2_lowdelay_P_jvet10_SEIDecodedPictureHash=1_SEIDecodedPictureHash=1_SEIDecodedPictureHash=1_dummy_ClassB_S03_q0_32_F500_T1</t>
  </si>
  <si>
    <t>KTADev2_lowdelay_P_jvet10_SEIDecodedPictureHash=1_SEIDecodedPictureHash=1_SEIDecodedPictureHash=1_dummy_ClassB_S03_q0_37_F500_T1</t>
  </si>
  <si>
    <t>KTADev2_lowdelay_P_jvet10_SEIDecodedPictureHash=1_SEIDecodedPictureHash=1_SEIDecodedPictureHash=1_dummy_ClassB_S04_q0_22_F500_T1</t>
  </si>
  <si>
    <t>KTADev2_lowdelay_P_jvet10_SEIDecodedPictureHash=1_SEIDecodedPictureHash=1_SEIDecodedPictureHash=1_dummy_ClassB_S04_q0_27_F500_T1</t>
  </si>
  <si>
    <t>KTADev2_lowdelay_P_jvet10_SEIDecodedPictureHash=1_SEIDecodedPictureHash=1_SEIDecodedPictureHash=1_dummy_ClassB_S04_q0_32_F500_T1</t>
  </si>
  <si>
    <t>KTADev2_lowdelay_P_jvet10_SEIDecodedPictureHash=1_SEIDecodedPictureHash=1_SEIDecodedPictureHash=1_dummy_ClassB_S04_q0_37_F500_T1</t>
  </si>
  <si>
    <t>KTADev2_lowdelay_P_jvet10_SEIDecodedPictureHash=1_SEIDecodedPictureHash=1_SEIDecodedPictureHash=1_dummy_ClassB_S05_q0_22_F600_T1</t>
  </si>
  <si>
    <t>KTADev2_lowdelay_P_jvet10_SEIDecodedPictureHash=1_SEIDecodedPictureHash=1_SEIDecodedPictureHash=1_dummy_ClassB_S05_q0_27_F600_T1</t>
  </si>
  <si>
    <t>KTADev2_lowdelay_P_jvet10_SEIDecodedPictureHash=1_SEIDecodedPictureHash=1_SEIDecodedPictureHash=1_dummy_ClassB_S05_q0_32_F600_T1</t>
  </si>
  <si>
    <t>KTADev2_lowdelay_P_jvet10_SEIDecodedPictureHash=1_SEIDecodedPictureHash=1_SEIDecodedPictureHash=1_dummy_ClassB_S05_q0_37_F600_T1</t>
  </si>
  <si>
    <t>KTADev2_lowdelay_P_jvet10_SEIDecodedPictureHash=1_SEIDecodedPictureHash=1_SEIDecodedPictureHash=1_dummy_ClassC_S01_q0_22_F500_T1</t>
  </si>
  <si>
    <t>KTADev2_lowdelay_P_jvet10_SEIDecodedPictureHash=1_SEIDecodedPictureHash=1_SEIDecodedPictureHash=1_dummy_ClassC_S01_q0_27_F500_T1</t>
  </si>
  <si>
    <t>KTADev2_lowdelay_P_jvet10_SEIDecodedPictureHash=1_SEIDecodedPictureHash=1_SEIDecodedPictureHash=1_dummy_ClassC_S01_q0_32_F500_T1</t>
  </si>
  <si>
    <t>KTADev2_lowdelay_P_jvet10_SEIDecodedPictureHash=1_SEIDecodedPictureHash=1_SEIDecodedPictureHash=1_dummy_ClassC_S01_q0_37_F500_T1</t>
  </si>
  <si>
    <t>KTADev2_lowdelay_P_jvet10_SEIDecodedPictureHash=1_SEIDecodedPictureHash=1_SEIDecodedPictureHash=1_dummy_ClassC_S02_q0_22_F600_T1</t>
  </si>
  <si>
    <t>KTADev2_lowdelay_P_jvet10_SEIDecodedPictureHash=1_SEIDecodedPictureHash=1_SEIDecodedPictureHash=1_dummy_ClassC_S02_q0_27_F600_T1</t>
  </si>
  <si>
    <t>KTADev2_lowdelay_P_jvet10_SEIDecodedPictureHash=1_SEIDecodedPictureHash=1_SEIDecodedPictureHash=1_dummy_ClassC_S02_q0_32_F600_T1</t>
  </si>
  <si>
    <t>KTADev2_lowdelay_P_jvet10_SEIDecodedPictureHash=1_SEIDecodedPictureHash=1_SEIDecodedPictureHash=1_dummy_ClassC_S02_q0_37_F600_T1</t>
  </si>
  <si>
    <t>KTADev2_lowdelay_P_jvet10_SEIDecodedPictureHash=1_SEIDecodedPictureHash=1_SEIDecodedPictureHash=1_dummy_ClassC_S03_q0_22_F500_T1</t>
  </si>
  <si>
    <t>KTADev2_lowdelay_P_jvet10_SEIDecodedPictureHash=1_SEIDecodedPictureHash=1_SEIDecodedPictureHash=1_dummy_ClassC_S03_q0_27_F500_T1</t>
  </si>
  <si>
    <t>KTADev2_lowdelay_P_jvet10_SEIDecodedPictureHash=1_SEIDecodedPictureHash=1_SEIDecodedPictureHash=1_dummy_ClassC_S03_q0_32_F500_T1</t>
  </si>
  <si>
    <t>KTADev2_lowdelay_P_jvet10_SEIDecodedPictureHash=1_SEIDecodedPictureHash=1_SEIDecodedPictureHash=1_dummy_ClassC_S03_q0_37_F500_T1</t>
  </si>
  <si>
    <t>KTADev2_lowdelay_P_jvet10_SEIDecodedPictureHash=1_SEIDecodedPictureHash=1_SEIDecodedPictureHash=1_dummy_ClassC_S04_q0_22_F300_T1</t>
  </si>
  <si>
    <t>KTADev2_lowdelay_P_jvet10_SEIDecodedPictureHash=1_SEIDecodedPictureHash=1_SEIDecodedPictureHash=1_dummy_ClassC_S04_q0_27_F300_T1</t>
  </si>
  <si>
    <t>KTADev2_lowdelay_P_jvet10_SEIDecodedPictureHash=1_SEIDecodedPictureHash=1_SEIDecodedPictureHash=1_dummy_ClassC_S04_q0_32_F300_T1</t>
  </si>
  <si>
    <t>KTADev2_lowdelay_P_jvet10_SEIDecodedPictureHash=1_SEIDecodedPictureHash=1_SEIDecodedPictureHash=1_dummy_ClassC_S04_q0_37_F300_T1</t>
  </si>
  <si>
    <t>KTADev2_lowdelay_P_jvet10_SEIDecodedPictureHash=1_SEIDecodedPictureHash=1_SEIDecodedPictureHash=1_dummy_ClassD_S01_q0_22_F500_T1</t>
  </si>
  <si>
    <t>KTADev2_lowdelay_P_jvet10_SEIDecodedPictureHash=1_SEIDecodedPictureHash=1_SEIDecodedPictureHash=1_dummy_ClassD_S01_q0_27_F500_T1</t>
  </si>
  <si>
    <t>KTADev2_lowdelay_P_jvet10_SEIDecodedPictureHash=1_SEIDecodedPictureHash=1_SEIDecodedPictureHash=1_dummy_ClassD_S01_q0_32_F500_T1</t>
  </si>
  <si>
    <t>KTADev2_lowdelay_P_jvet10_SEIDecodedPictureHash=1_SEIDecodedPictureHash=1_SEIDecodedPictureHash=1_dummy_ClassD_S01_q0_37_F500_T1</t>
  </si>
  <si>
    <t>KTADev2_lowdelay_P_jvet10_SEIDecodedPictureHash=1_SEIDecodedPictureHash=1_SEIDecodedPictureHash=1_dummy_ClassD_S02_q0_22_F600_T1</t>
  </si>
  <si>
    <t>KTADev2_lowdelay_P_jvet10_SEIDecodedPictureHash=1_SEIDecodedPictureHash=1_SEIDecodedPictureHash=1_dummy_ClassD_S02_q0_27_F600_T1</t>
  </si>
  <si>
    <t>KTADev2_lowdelay_P_jvet10_SEIDecodedPictureHash=1_SEIDecodedPictureHash=1_SEIDecodedPictureHash=1_dummy_ClassD_S02_q0_32_F600_T1</t>
  </si>
  <si>
    <t>KTADev2_lowdelay_P_jvet10_SEIDecodedPictureHash=1_SEIDecodedPictureHash=1_SEIDecodedPictureHash=1_dummy_ClassD_S02_q0_37_F600_T1</t>
  </si>
  <si>
    <t>KTADev2_lowdelay_P_jvet10_SEIDecodedPictureHash=1_SEIDecodedPictureHash=1_SEIDecodedPictureHash=1_dummy_ClassD_S03_q0_22_F500_T1</t>
  </si>
  <si>
    <t>KTADev2_lowdelay_P_jvet10_SEIDecodedPictureHash=1_SEIDecodedPictureHash=1_SEIDecodedPictureHash=1_dummy_ClassD_S03_q0_27_F500_T1</t>
  </si>
  <si>
    <t>KTADev2_lowdelay_P_jvet10_SEIDecodedPictureHash=1_SEIDecodedPictureHash=1_SEIDecodedPictureHash=1_dummy_ClassD_S03_q0_32_F500_T1</t>
  </si>
  <si>
    <t>KTADev2_lowdelay_P_jvet10_SEIDecodedPictureHash=1_SEIDecodedPictureHash=1_SEIDecodedPictureHash=1_dummy_ClassD_S03_q0_37_F500_T1</t>
  </si>
  <si>
    <t>KTADev2_lowdelay_P_jvet10_SEIDecodedPictureHash=1_SEIDecodedPictureHash=1_SEIDecodedPictureHash=1_dummy_ClassD_S04_q0_22_F300_T1</t>
  </si>
  <si>
    <t>KTADev2_lowdelay_P_jvet10_SEIDecodedPictureHash=1_SEIDecodedPictureHash=1_SEIDecodedPictureHash=1_dummy_ClassD_S04_q0_27_F300_T1</t>
  </si>
  <si>
    <t>KTADev2_lowdelay_P_jvet10_SEIDecodedPictureHash=1_SEIDecodedPictureHash=1_SEIDecodedPictureHash=1_dummy_ClassD_S04_q0_32_F300_T1</t>
  </si>
  <si>
    <t>KTADev2_lowdelay_P_jvet10_SEIDecodedPictureHash=1_SEIDecodedPictureHash=1_SEIDecodedPictureHash=1_dummy_ClassD_S04_q0_37_F300_T1</t>
  </si>
  <si>
    <t>KTADev2_lowdelay_P_jvet10_SEIDecodedPictureHash=1_SEIDecodedPictureHash=1_SEIDecodedPictureHash=1_dummy_ClassE_S01_q0_22_F600_T1</t>
  </si>
  <si>
    <t>KTADev2_lowdelay_P_jvet10_SEIDecodedPictureHash=1_SEIDecodedPictureHash=1_SEIDecodedPictureHash=1_dummy_ClassE_S01_q0_27_F600_T1</t>
  </si>
  <si>
    <t>KTADev2_lowdelay_P_jvet10_SEIDecodedPictureHash=1_SEIDecodedPictureHash=1_SEIDecodedPictureHash=1_dummy_ClassE_S01_q0_32_F600_T1</t>
  </si>
  <si>
    <t>KTADev2_lowdelay_P_jvet10_SEIDecodedPictureHash=1_SEIDecodedPictureHash=1_SEIDecodedPictureHash=1_dummy_ClassE_S01_q0_37_F600_T1</t>
  </si>
  <si>
    <t>KTADev2_lowdelay_P_jvet10_SEIDecodedPictureHash=1_SEIDecodedPictureHash=1_SEIDecodedPictureHash=1_dummy_ClassE_S02_q0_22_F600_T1</t>
  </si>
  <si>
    <t>KTADev2_lowdelay_P_jvet10_SEIDecodedPictureHash=1_SEIDecodedPictureHash=1_SEIDecodedPictureHash=1_dummy_ClassE_S02_q0_27_F600_T1</t>
  </si>
  <si>
    <t>KTADev2_lowdelay_P_jvet10_SEIDecodedPictureHash=1_SEIDecodedPictureHash=1_SEIDecodedPictureHash=1_dummy_ClassE_S02_q0_32_F600_T1</t>
  </si>
  <si>
    <t>KTADev2_lowdelay_P_jvet10_SEIDecodedPictureHash=1_SEIDecodedPictureHash=1_SEIDecodedPictureHash=1_dummy_ClassE_S02_q0_37_F600_T1</t>
  </si>
  <si>
    <t>KTADev2_lowdelay_P_jvet10_SEIDecodedPictureHash=1_SEIDecodedPictureHash=1_SEIDecodedPictureHash=1_dummy_ClassE_S03_q0_22_F600_T1</t>
  </si>
  <si>
    <t>KTADev2_lowdelay_P_jvet10_SEIDecodedPictureHash=1_SEIDecodedPictureHash=1_SEIDecodedPictureHash=1_dummy_ClassE_S03_q0_27_F600_T1</t>
  </si>
  <si>
    <t>KTADev2_lowdelay_P_jvet10_SEIDecodedPictureHash=1_SEIDecodedPictureHash=1_SEIDecodedPictureHash=1_dummy_ClassE_S03_q0_32_F600_T1</t>
  </si>
  <si>
    <t>KTADev2_lowdelay_P_jvet10_SEIDecodedPictureHash=1_SEIDecodedPictureHash=1_SEIDecodedPictureHash=1_dummy_ClassE_S03_q0_37_F600_T1</t>
  </si>
  <si>
    <t>KTADev2_lowdelay_P_jvet10_SEIDecodedPictureHash=1_SEIDecodedPictureHash=1_SEIDecodedPictureHash=1_dummy_ClassF_S01_q0_22_F500_T1</t>
  </si>
  <si>
    <t>KTADev2_lowdelay_P_jvet10_SEIDecodedPictureHash=1_SEIDecodedPictureHash=1_SEIDecodedPictureHash=1_dummy_ClassF_S01_q0_27_F500_T1</t>
  </si>
  <si>
    <t>KTADev2_lowdelay_P_jvet10_SEIDecodedPictureHash=1_SEIDecodedPictureHash=1_SEIDecodedPictureHash=1_dummy_ClassF_S01_q0_32_F500_T1</t>
  </si>
  <si>
    <t>KTADev2_lowdelay_P_jvet10_SEIDecodedPictureHash=1_SEIDecodedPictureHash=1_SEIDecodedPictureHash=1_dummy_ClassF_S01_q0_37_F500_T1</t>
  </si>
  <si>
    <t>KTADev2_lowdelay_P_jvet10_SEIDecodedPictureHash=1_SEIDecodedPictureHash=1_SEIDecodedPictureHash=1_dummy_ClassF_S02_q0_22_F500_T1</t>
  </si>
  <si>
    <t>KTADev2_lowdelay_P_jvet10_SEIDecodedPictureHash=1_SEIDecodedPictureHash=1_SEIDecodedPictureHash=1_dummy_ClassF_S02_q0_27_F500_T1</t>
  </si>
  <si>
    <t>KTADev2_lowdelay_P_jvet10_SEIDecodedPictureHash=1_SEIDecodedPictureHash=1_SEIDecodedPictureHash=1_dummy_ClassF_S02_q0_32_F500_T1</t>
  </si>
  <si>
    <t>KTADev2_lowdelay_P_jvet10_SEIDecodedPictureHash=1_SEIDecodedPictureHash=1_SEIDecodedPictureHash=1_dummy_ClassF_S02_q0_37_F500_T1</t>
  </si>
  <si>
    <t>KTADev2_lowdelay_P_jvet10_SEIDecodedPictureHash=1_SEIDecodedPictureHash=1_SEIDecodedPictureHash=1_dummy_ClassF_S03_q0_22_F300_T1</t>
  </si>
  <si>
    <t>KTADev2_lowdelay_P_jvet10_SEIDecodedPictureHash=1_SEIDecodedPictureHash=1_SEIDecodedPictureHash=1_dummy_ClassF_S03_q0_27_F300_T1</t>
  </si>
  <si>
    <t>KTADev2_lowdelay_P_jvet10_SEIDecodedPictureHash=1_SEIDecodedPictureHash=1_SEIDecodedPictureHash=1_dummy_ClassF_S03_q0_32_F300_T1</t>
  </si>
  <si>
    <t>KTADev2_lowdelay_P_jvet10_SEIDecodedPictureHash=1_SEIDecodedPictureHash=1_SEIDecodedPictureHash=1_dummy_ClassF_S03_q0_37_F300_T1</t>
  </si>
  <si>
    <t>KTADev2_lowdelay_P_jvet10_SEIDecodedPictureHash=1_SEIDecodedPictureHash=1_SEIDecodedPictureHash=1_dummy_ClassF_S04_q0_22_F500_T1</t>
  </si>
  <si>
    <t>KTADev2_lowdelay_P_jvet10_SEIDecodedPictureHash=1_SEIDecodedPictureHash=1_SEIDecodedPictureHash=1_dummy_ClassF_S04_q0_27_F500_T1</t>
  </si>
  <si>
    <t>KTADev2_lowdelay_P_jvet10_SEIDecodedPictureHash=1_SEIDecodedPictureHash=1_SEIDecodedPictureHash=1_dummy_ClassF_S04_q0_32_F500_T1</t>
  </si>
  <si>
    <t>KTADev2_lowdelay_P_jvet10_SEIDecodedPictureHash=1_SEIDecodedPictureHash=1_SEIDecodedPictureHash=1_dummy_ClassF_S04_q0_37_F500_T1</t>
  </si>
  <si>
    <t>HM1613_intra_main10_hm1613_SEIDecodedPictureHash=1_SEIDecodedPictureHash=1_SEIDecodedPictureHash=1_dummy_ClassA1_S01_q0_22_F294_T8</t>
  </si>
  <si>
    <t>HM1613_intra_main10_hm1613_SEIDecodedPictureHash=1_SEIDecodedPictureHash=1_SEIDecodedPictureHash=1_dummy_ClassA1_S01_q0_27_F294_T8</t>
  </si>
  <si>
    <t>HM1613_intra_main10_hm1613_SEIDecodedPictureHash=1_SEIDecodedPictureHash=1_SEIDecodedPictureHash=1_dummy_ClassA1_S01_q0_32_F294_T8</t>
  </si>
  <si>
    <t>HM1613_intra_main10_hm1613_SEIDecodedPictureHash=1_SEIDecodedPictureHash=1_SEIDecodedPictureHash=1_dummy_ClassA1_S01_q0_37_F294_T8</t>
  </si>
  <si>
    <t>HM1613_intra_main10_hm1613_SEIDecodedPictureHash=1_SEIDecodedPictureHash=1_SEIDecodedPictureHash=1_dummy_ClassA1_S02_q0_22_F300_T8</t>
  </si>
  <si>
    <t>HM1613_intra_main10_hm1613_SEIDecodedPictureHash=1_SEIDecodedPictureHash=1_SEIDecodedPictureHash=1_dummy_ClassA1_S02_q0_27_F300_T8</t>
  </si>
  <si>
    <t>HM1613_intra_main10_hm1613_SEIDecodedPictureHash=1_SEIDecodedPictureHash=1_SEIDecodedPictureHash=1_dummy_ClassA1_S02_q0_32_F300_T8</t>
  </si>
  <si>
    <t>HM1613_intra_main10_hm1613_SEIDecodedPictureHash=1_SEIDecodedPictureHash=1_SEIDecodedPictureHash=1_dummy_ClassA1_S02_q0_37_F300_T8</t>
  </si>
  <si>
    <t>HM1613_intra_main10_hm1613_SEIDecodedPictureHash=1_SEIDecodedPictureHash=1_SEIDecodedPictureHash=1_dummy_ClassA1_S03_q0_22_F300_T8</t>
  </si>
  <si>
    <t>HM1613_intra_main10_hm1613_SEIDecodedPictureHash=1_SEIDecodedPictureHash=1_SEIDecodedPictureHash=1_dummy_ClassA1_S03_q0_27_F300_T8</t>
  </si>
  <si>
    <t>HM1613_intra_main10_hm1613_SEIDecodedPictureHash=1_SEIDecodedPictureHash=1_SEIDecodedPictureHash=1_dummy_ClassA1_S03_q0_32_F300_T8</t>
  </si>
  <si>
    <t>HM1613_intra_main10_hm1613_SEIDecodedPictureHash=1_SEIDecodedPictureHash=1_SEIDecodedPictureHash=1_dummy_ClassA1_S03_q0_37_F300_T8</t>
  </si>
  <si>
    <t>HM1613_intra_main10_hm1613_SEIDecodedPictureHash=1_SEIDecodedPictureHash=1_SEIDecodedPictureHash=1_dummy_ClassA1_S04_q0_22_F300_T8</t>
  </si>
  <si>
    <t>HM1613_intra_main10_hm1613_SEIDecodedPictureHash=1_SEIDecodedPictureHash=1_SEIDecodedPictureHash=1_dummy_ClassA1_S04_q0_27_F300_T8</t>
  </si>
  <si>
    <t>HM1613_intra_main10_hm1613_SEIDecodedPictureHash=1_SEIDecodedPictureHash=1_SEIDecodedPictureHash=1_dummy_ClassA1_S04_q0_32_F300_T8</t>
  </si>
  <si>
    <t>HM1613_intra_main10_hm1613_SEIDecodedPictureHash=1_SEIDecodedPictureHash=1_SEIDecodedPictureHash=1_dummy_ClassA1_S04_q0_37_F300_T8</t>
  </si>
  <si>
    <t>HM1613_intra_main10_hm1613_SEIDecodedPictureHash=1_SEIDecodedPictureHash=1_SEIDecodedPictureHash=1_dummy_ClassA2_S01_q0_22_F300_T8</t>
  </si>
  <si>
    <t>HM1613_intra_main10_hm1613_SEIDecodedPictureHash=1_SEIDecodedPictureHash=1_SEIDecodedPictureHash=1_dummy_ClassA2_S01_q0_27_F300_T8</t>
  </si>
  <si>
    <t>HM1613_intra_main10_hm1613_SEIDecodedPictureHash=1_SEIDecodedPictureHash=1_SEIDecodedPictureHash=1_dummy_ClassA2_S01_q0_32_F300_T8</t>
  </si>
  <si>
    <t>HM1613_intra_main10_hm1613_SEIDecodedPictureHash=1_SEIDecodedPictureHash=1_SEIDecodedPictureHash=1_dummy_ClassA2_S01_q0_37_F300_T8</t>
  </si>
  <si>
    <t>HM1613_intra_main10_hm1613_SEIDecodedPictureHash=1_SEIDecodedPictureHash=1_SEIDecodedPictureHash=1_dummy_ClassA2_S02_q0_22_F300_T8</t>
  </si>
  <si>
    <t>HM1613_intra_main10_hm1613_SEIDecodedPictureHash=1_SEIDecodedPictureHash=1_SEIDecodedPictureHash=1_dummy_ClassA2_S02_q0_27_F300_T8</t>
  </si>
  <si>
    <t>HM1613_intra_main10_hm1613_SEIDecodedPictureHash=1_SEIDecodedPictureHash=1_SEIDecodedPictureHash=1_dummy_ClassA2_S02_q0_32_F300_T8</t>
  </si>
  <si>
    <t>HM1613_intra_main10_hm1613_SEIDecodedPictureHash=1_SEIDecodedPictureHash=1_SEIDecodedPictureHash=1_dummy_ClassA2_S02_q0_37_F300_T8</t>
  </si>
  <si>
    <t>HM1613_intra_main10_hm1613_SEIDecodedPictureHash=1_SEIDecodedPictureHash=1_SEIDecodedPictureHash=1_dummy_ClassA2_S03_q0_22_F300_T8</t>
  </si>
  <si>
    <t>HM1613_intra_main10_hm1613_SEIDecodedPictureHash=1_SEIDecodedPictureHash=1_SEIDecodedPictureHash=1_dummy_ClassA2_S03_q0_27_F300_T8</t>
  </si>
  <si>
    <t>HM1613_intra_main10_hm1613_SEIDecodedPictureHash=1_SEIDecodedPictureHash=1_SEIDecodedPictureHash=1_dummy_ClassA2_S03_q0_32_F300_T8</t>
  </si>
  <si>
    <t>HM1613_intra_main10_hm1613_SEIDecodedPictureHash=1_SEIDecodedPictureHash=1_SEIDecodedPictureHash=1_dummy_ClassA2_S03_q0_37_F300_T8</t>
  </si>
  <si>
    <t>HM1613_intra_main10_hm1613_SEIDecodedPictureHash=1_SEIDecodedPictureHash=1_SEIDecodedPictureHash=1_dummy_ClassA2_S04_q0_22_F300_T8</t>
  </si>
  <si>
    <t>HM1613_intra_main10_hm1613_SEIDecodedPictureHash=1_SEIDecodedPictureHash=1_SEIDecodedPictureHash=1_dummy_ClassA2_S04_q0_27_F300_T8</t>
  </si>
  <si>
    <t>HM1613_intra_main10_hm1613_SEIDecodedPictureHash=1_SEIDecodedPictureHash=1_SEIDecodedPictureHash=1_dummy_ClassA2_S04_q0_32_F300_T8</t>
  </si>
  <si>
    <t>HM1613_intra_main10_hm1613_SEIDecodedPictureHash=1_SEIDecodedPictureHash=1_SEIDecodedPictureHash=1_dummy_ClassA2_S04_q0_37_F300_T8</t>
  </si>
  <si>
    <t>HM1613_intra_main10_hm1613_SEIDecodedPictureHash=1_SEIDecodedPictureHash=1_SEIDecodedPictureHash=1_dummy_ClassB_S01_q0_22_F240_T8</t>
  </si>
  <si>
    <t>HM1613_intra_main10_hm1613_SEIDecodedPictureHash=1_SEIDecodedPictureHash=1_SEIDecodedPictureHash=1_dummy_ClassB_S01_q0_27_F240_T8</t>
  </si>
  <si>
    <t>HM1613_intra_main10_hm1613_SEIDecodedPictureHash=1_SEIDecodedPictureHash=1_SEIDecodedPictureHash=1_dummy_ClassB_S01_q0_32_F240_T8</t>
  </si>
  <si>
    <t>HM1613_intra_main10_hm1613_SEIDecodedPictureHash=1_SEIDecodedPictureHash=1_SEIDecodedPictureHash=1_dummy_ClassB_S01_q0_37_F240_T8</t>
  </si>
  <si>
    <t>HM1613_intra_main10_hm1613_SEIDecodedPictureHash=1_SEIDecodedPictureHash=1_SEIDecodedPictureHash=1_dummy_ClassB_S02_q0_22_F240_T8</t>
  </si>
  <si>
    <t>HM1613_intra_main10_hm1613_SEIDecodedPictureHash=1_SEIDecodedPictureHash=1_SEIDecodedPictureHash=1_dummy_ClassB_S02_q0_27_F240_T8</t>
  </si>
  <si>
    <t>HM1613_intra_main10_hm1613_SEIDecodedPictureHash=1_SEIDecodedPictureHash=1_SEIDecodedPictureHash=1_dummy_ClassB_S02_q0_32_F240_T8</t>
  </si>
  <si>
    <t>HM1613_intra_main10_hm1613_SEIDecodedPictureHash=1_SEIDecodedPictureHash=1_SEIDecodedPictureHash=1_dummy_ClassB_S02_q0_37_F240_T8</t>
  </si>
  <si>
    <t>HM1613_intra_main10_hm1613_SEIDecodedPictureHash=1_SEIDecodedPictureHash=1_SEIDecodedPictureHash=1_dummy_ClassB_S03_q0_22_F500_T8</t>
  </si>
  <si>
    <t>HM1613_intra_main10_hm1613_SEIDecodedPictureHash=1_SEIDecodedPictureHash=1_SEIDecodedPictureHash=1_dummy_ClassB_S03_q0_27_F500_T8</t>
  </si>
  <si>
    <t>HM1613_intra_main10_hm1613_SEIDecodedPictureHash=1_SEIDecodedPictureHash=1_SEIDecodedPictureHash=1_dummy_ClassB_S03_q0_32_F500_T8</t>
  </si>
  <si>
    <t>HM1613_intra_main10_hm1613_SEIDecodedPictureHash=1_SEIDecodedPictureHash=1_SEIDecodedPictureHash=1_dummy_ClassB_S03_q0_37_F500_T8</t>
  </si>
  <si>
    <t>HM1613_intra_main10_hm1613_SEIDecodedPictureHash=1_SEIDecodedPictureHash=1_SEIDecodedPictureHash=1_dummy_ClassB_S04_q0_22_F500_T8</t>
  </si>
  <si>
    <t>HM1613_intra_main10_hm1613_SEIDecodedPictureHash=1_SEIDecodedPictureHash=1_SEIDecodedPictureHash=1_dummy_ClassB_S04_q0_27_F500_T8</t>
  </si>
  <si>
    <t>HM1613_intra_main10_hm1613_SEIDecodedPictureHash=1_SEIDecodedPictureHash=1_SEIDecodedPictureHash=1_dummy_ClassB_S04_q0_32_F500_T8</t>
  </si>
  <si>
    <t>HM1613_intra_main10_hm1613_SEIDecodedPictureHash=1_SEIDecodedPictureHash=1_SEIDecodedPictureHash=1_dummy_ClassB_S04_q0_37_F500_T8</t>
  </si>
  <si>
    <t>HM1613_intra_main10_hm1613_SEIDecodedPictureHash=1_SEIDecodedPictureHash=1_SEIDecodedPictureHash=1_dummy_ClassB_S05_q0_22_F600_T8</t>
  </si>
  <si>
    <t>HM1613_intra_main10_hm1613_SEIDecodedPictureHash=1_SEIDecodedPictureHash=1_SEIDecodedPictureHash=1_dummy_ClassB_S05_q0_27_F600_T8</t>
  </si>
  <si>
    <t>HM1613_intra_main10_hm1613_SEIDecodedPictureHash=1_SEIDecodedPictureHash=1_SEIDecodedPictureHash=1_dummy_ClassB_S05_q0_32_F600_T8</t>
  </si>
  <si>
    <t>HM1613_intra_main10_hm1613_SEIDecodedPictureHash=1_SEIDecodedPictureHash=1_SEIDecodedPictureHash=1_dummy_ClassB_S05_q0_37_F600_T8</t>
  </si>
  <si>
    <t>HM1613_intra_main10_hm1613_SEIDecodedPictureHash=1_SEIDecodedPictureHash=1_SEIDecodedPictureHash=1_dummy_ClassC_S01_q0_22_F500_T8</t>
  </si>
  <si>
    <t>HM1613_intra_main10_hm1613_SEIDecodedPictureHash=1_SEIDecodedPictureHash=1_SEIDecodedPictureHash=1_dummy_ClassC_S01_q0_27_F500_T8</t>
  </si>
  <si>
    <t>HM1613_intra_main10_hm1613_SEIDecodedPictureHash=1_SEIDecodedPictureHash=1_SEIDecodedPictureHash=1_dummy_ClassC_S01_q0_32_F500_T8</t>
  </si>
  <si>
    <t>HM1613_intra_main10_hm1613_SEIDecodedPictureHash=1_SEIDecodedPictureHash=1_SEIDecodedPictureHash=1_dummy_ClassC_S01_q0_37_F500_T8</t>
  </si>
  <si>
    <t>HM1613_intra_main10_hm1613_SEIDecodedPictureHash=1_SEIDecodedPictureHash=1_SEIDecodedPictureHash=1_dummy_ClassC_S02_q0_22_F600_T8</t>
  </si>
  <si>
    <t>HM1613_intra_main10_hm1613_SEIDecodedPictureHash=1_SEIDecodedPictureHash=1_SEIDecodedPictureHash=1_dummy_ClassC_S02_q0_27_F600_T8</t>
  </si>
  <si>
    <t>HM1613_intra_main10_hm1613_SEIDecodedPictureHash=1_SEIDecodedPictureHash=1_SEIDecodedPictureHash=1_dummy_ClassC_S02_q0_32_F600_T8</t>
  </si>
  <si>
    <t>HM1613_intra_main10_hm1613_SEIDecodedPictureHash=1_SEIDecodedPictureHash=1_SEIDecodedPictureHash=1_dummy_ClassC_S02_q0_37_F600_T8</t>
  </si>
  <si>
    <t>HM1613_intra_main10_hm1613_SEIDecodedPictureHash=1_SEIDecodedPictureHash=1_SEIDecodedPictureHash=1_dummy_ClassC_S03_q0_22_F500_T8</t>
  </si>
  <si>
    <t>HM1613_intra_main10_hm1613_SEIDecodedPictureHash=1_SEIDecodedPictureHash=1_SEIDecodedPictureHash=1_dummy_ClassC_S03_q0_27_F500_T8</t>
  </si>
  <si>
    <t>HM1613_intra_main10_hm1613_SEIDecodedPictureHash=1_SEIDecodedPictureHash=1_SEIDecodedPictureHash=1_dummy_ClassC_S03_q0_32_F500_T8</t>
  </si>
  <si>
    <t>HM1613_intra_main10_hm1613_SEIDecodedPictureHash=1_SEIDecodedPictureHash=1_SEIDecodedPictureHash=1_dummy_ClassC_S03_q0_37_F500_T8</t>
  </si>
  <si>
    <t>HM1613_intra_main10_hm1613_SEIDecodedPictureHash=1_SEIDecodedPictureHash=1_SEIDecodedPictureHash=1_dummy_ClassC_S04_q0_22_F300_T8</t>
  </si>
  <si>
    <t>HM1613_intra_main10_hm1613_SEIDecodedPictureHash=1_SEIDecodedPictureHash=1_SEIDecodedPictureHash=1_dummy_ClassC_S04_q0_27_F300_T8</t>
  </si>
  <si>
    <t>HM1613_intra_main10_hm1613_SEIDecodedPictureHash=1_SEIDecodedPictureHash=1_SEIDecodedPictureHash=1_dummy_ClassC_S04_q0_32_F300_T8</t>
  </si>
  <si>
    <t>HM1613_intra_main10_hm1613_SEIDecodedPictureHash=1_SEIDecodedPictureHash=1_SEIDecodedPictureHash=1_dummy_ClassC_S04_q0_37_F300_T8</t>
  </si>
  <si>
    <t>HM1613_intra_main10_hm1613_SEIDecodedPictureHash=1_SEIDecodedPictureHash=1_SEIDecodedPictureHash=1_dummy_ClassD_S01_q0_22_F500_T8</t>
  </si>
  <si>
    <t>HM1613_intra_main10_hm1613_SEIDecodedPictureHash=1_SEIDecodedPictureHash=1_SEIDecodedPictureHash=1_dummy_ClassD_S01_q0_27_F500_T8</t>
  </si>
  <si>
    <t>HM1613_intra_main10_hm1613_SEIDecodedPictureHash=1_SEIDecodedPictureHash=1_SEIDecodedPictureHash=1_dummy_ClassD_S01_q0_32_F500_T8</t>
  </si>
  <si>
    <t>HM1613_intra_main10_hm1613_SEIDecodedPictureHash=1_SEIDecodedPictureHash=1_SEIDecodedPictureHash=1_dummy_ClassD_S01_q0_37_F500_T8</t>
  </si>
  <si>
    <t>HM1613_intra_main10_hm1613_SEIDecodedPictureHash=1_SEIDecodedPictureHash=1_SEIDecodedPictureHash=1_dummy_ClassD_S02_q0_22_F600_T8</t>
  </si>
  <si>
    <t>HM1613_intra_main10_hm1613_SEIDecodedPictureHash=1_SEIDecodedPictureHash=1_SEIDecodedPictureHash=1_dummy_ClassD_S02_q0_27_F600_T8</t>
  </si>
  <si>
    <t>HM1613_intra_main10_hm1613_SEIDecodedPictureHash=1_SEIDecodedPictureHash=1_SEIDecodedPictureHash=1_dummy_ClassD_S02_q0_32_F600_T8</t>
  </si>
  <si>
    <t>HM1613_intra_main10_hm1613_SEIDecodedPictureHash=1_SEIDecodedPictureHash=1_SEIDecodedPictureHash=1_dummy_ClassD_S02_q0_37_F600_T8</t>
  </si>
  <si>
    <t>HM1613_intra_main10_hm1613_SEIDecodedPictureHash=1_SEIDecodedPictureHash=1_SEIDecodedPictureHash=1_dummy_ClassD_S03_q0_22_F500_T8</t>
  </si>
  <si>
    <t>HM1613_intra_main10_hm1613_SEIDecodedPictureHash=1_SEIDecodedPictureHash=1_SEIDecodedPictureHash=1_dummy_ClassD_S03_q0_27_F500_T8</t>
  </si>
  <si>
    <t>HM1613_intra_main10_hm1613_SEIDecodedPictureHash=1_SEIDecodedPictureHash=1_SEIDecodedPictureHash=1_dummy_ClassD_S03_q0_32_F500_T8</t>
  </si>
  <si>
    <t>HM1613_intra_main10_hm1613_SEIDecodedPictureHash=1_SEIDecodedPictureHash=1_SEIDecodedPictureHash=1_dummy_ClassD_S03_q0_37_F500_T8</t>
  </si>
  <si>
    <t>HM1613_intra_main10_hm1613_SEIDecodedPictureHash=1_SEIDecodedPictureHash=1_SEIDecodedPictureHash=1_dummy_ClassD_S04_q0_22_F300_T8</t>
  </si>
  <si>
    <t>HM1613_intra_main10_hm1613_SEIDecodedPictureHash=1_SEIDecodedPictureHash=1_SEIDecodedPictureHash=1_dummy_ClassD_S04_q0_27_F300_T8</t>
  </si>
  <si>
    <t>HM1613_intra_main10_hm1613_SEIDecodedPictureHash=1_SEIDecodedPictureHash=1_SEIDecodedPictureHash=1_dummy_ClassD_S04_q0_32_F300_T8</t>
  </si>
  <si>
    <t>HM1613_intra_main10_hm1613_SEIDecodedPictureHash=1_SEIDecodedPictureHash=1_SEIDecodedPictureHash=1_dummy_ClassD_S04_q0_37_F300_T8</t>
  </si>
  <si>
    <t>HM1613_intra_main10_hm1613_SEIDecodedPictureHash=1_SEIDecodedPictureHash=1_SEIDecodedPictureHash=1_dummy_ClassE_S01_q0_22_F600_T8</t>
  </si>
  <si>
    <t>HM1613_intra_main10_hm1613_SEIDecodedPictureHash=1_SEIDecodedPictureHash=1_SEIDecodedPictureHash=1_dummy_ClassE_S01_q0_27_F600_T8</t>
  </si>
  <si>
    <t>HM1613_intra_main10_hm1613_SEIDecodedPictureHash=1_SEIDecodedPictureHash=1_SEIDecodedPictureHash=1_dummy_ClassE_S01_q0_32_F600_T8</t>
  </si>
  <si>
    <t>HM1613_intra_main10_hm1613_SEIDecodedPictureHash=1_SEIDecodedPictureHash=1_SEIDecodedPictureHash=1_dummy_ClassE_S01_q0_37_F600_T8</t>
  </si>
  <si>
    <t>HM1613_intra_main10_hm1613_SEIDecodedPictureHash=1_SEIDecodedPictureHash=1_SEIDecodedPictureHash=1_dummy_ClassE_S02_q0_22_F600_T8</t>
  </si>
  <si>
    <t>HM1613_intra_main10_hm1613_SEIDecodedPictureHash=1_SEIDecodedPictureHash=1_SEIDecodedPictureHash=1_dummy_ClassE_S02_q0_27_F600_T8</t>
  </si>
  <si>
    <t>HM1613_intra_main10_hm1613_SEIDecodedPictureHash=1_SEIDecodedPictureHash=1_SEIDecodedPictureHash=1_dummy_ClassE_S02_q0_32_F600_T8</t>
  </si>
  <si>
    <t>HM1613_intra_main10_hm1613_SEIDecodedPictureHash=1_SEIDecodedPictureHash=1_SEIDecodedPictureHash=1_dummy_ClassE_S02_q0_37_F600_T8</t>
  </si>
  <si>
    <t>HM1613_intra_main10_hm1613_SEIDecodedPictureHash=1_SEIDecodedPictureHash=1_SEIDecodedPictureHash=1_dummy_ClassE_S03_q0_22_F600_T8</t>
  </si>
  <si>
    <t>HM1613_intra_main10_hm1613_SEIDecodedPictureHash=1_SEIDecodedPictureHash=1_SEIDecodedPictureHash=1_dummy_ClassE_S03_q0_27_F600_T8</t>
  </si>
  <si>
    <t>HM1613_intra_main10_hm1613_SEIDecodedPictureHash=1_SEIDecodedPictureHash=1_SEIDecodedPictureHash=1_dummy_ClassE_S03_q0_32_F600_T8</t>
  </si>
  <si>
    <t>HM1613_intra_main10_hm1613_SEIDecodedPictureHash=1_SEIDecodedPictureHash=1_SEIDecodedPictureHash=1_dummy_ClassE_S03_q0_37_F600_T8</t>
  </si>
  <si>
    <t>HM1613_intra_main10_hm1613_SEIDecodedPictureHash=1_SEIDecodedPictureHash=1_SEIDecodedPictureHash=1_dummy_ClassF_S01_q0_22_F500_T8</t>
  </si>
  <si>
    <t>HM1613_intra_main10_hm1613_SEIDecodedPictureHash=1_SEIDecodedPictureHash=1_SEIDecodedPictureHash=1_dummy_ClassF_S01_q0_27_F500_T8</t>
  </si>
  <si>
    <t>HM1613_intra_main10_hm1613_SEIDecodedPictureHash=1_SEIDecodedPictureHash=1_SEIDecodedPictureHash=1_dummy_ClassF_S01_q0_32_F500_T8</t>
  </si>
  <si>
    <t>HM1613_intra_main10_hm1613_SEIDecodedPictureHash=1_SEIDecodedPictureHash=1_SEIDecodedPictureHash=1_dummy_ClassF_S01_q0_37_F500_T8</t>
  </si>
  <si>
    <t>HM1613_intra_main10_hm1613_SEIDecodedPictureHash=1_SEIDecodedPictureHash=1_SEIDecodedPictureHash=1_dummy_ClassF_S02_q0_22_F500_T8</t>
  </si>
  <si>
    <t>HM1613_intra_main10_hm1613_SEIDecodedPictureHash=1_SEIDecodedPictureHash=1_SEIDecodedPictureHash=1_dummy_ClassF_S02_q0_27_F500_T8</t>
  </si>
  <si>
    <t>HM1613_intra_main10_hm1613_SEIDecodedPictureHash=1_SEIDecodedPictureHash=1_SEIDecodedPictureHash=1_dummy_ClassF_S02_q0_32_F500_T8</t>
  </si>
  <si>
    <t>HM1613_intra_main10_hm1613_SEIDecodedPictureHash=1_SEIDecodedPictureHash=1_SEIDecodedPictureHash=1_dummy_ClassF_S02_q0_37_F500_T8</t>
  </si>
  <si>
    <t>HM1613_intra_main10_hm1613_SEIDecodedPictureHash=1_SEIDecodedPictureHash=1_SEIDecodedPictureHash=1_dummy_ClassF_S03_q0_22_F300_T8</t>
  </si>
  <si>
    <t>HM1613_intra_main10_hm1613_SEIDecodedPictureHash=1_SEIDecodedPictureHash=1_SEIDecodedPictureHash=1_dummy_ClassF_S03_q0_27_F300_T8</t>
  </si>
  <si>
    <t>HM1613_intra_main10_hm1613_SEIDecodedPictureHash=1_SEIDecodedPictureHash=1_SEIDecodedPictureHash=1_dummy_ClassF_S03_q0_32_F300_T8</t>
  </si>
  <si>
    <t>HM1613_intra_main10_hm1613_SEIDecodedPictureHash=1_SEIDecodedPictureHash=1_SEIDecodedPictureHash=1_dummy_ClassF_S03_q0_37_F300_T8</t>
  </si>
  <si>
    <t>HM1613_intra_main10_hm1613_SEIDecodedPictureHash=1_SEIDecodedPictureHash=1_SEIDecodedPictureHash=1_dummy_ClassF_S04_q0_22_F500_T8</t>
  </si>
  <si>
    <t>HM1613_intra_main10_hm1613_SEIDecodedPictureHash=1_SEIDecodedPictureHash=1_SEIDecodedPictureHash=1_dummy_ClassF_S04_q0_27_F500_T8</t>
  </si>
  <si>
    <t>HM1613_intra_main10_hm1613_SEIDecodedPictureHash=1_SEIDecodedPictureHash=1_SEIDecodedPictureHash=1_dummy_ClassF_S04_q0_32_F500_T8</t>
  </si>
  <si>
    <t>HM1613_intra_main10_hm1613_SEIDecodedPictureHash=1_SEIDecodedPictureHash=1_SEIDecodedPictureHash=1_dummy_ClassF_S04_q0_37_F500_T8</t>
  </si>
  <si>
    <t>HM1613_randomaccess_main10_hm1613_SEIDecodedPictureHash=1_SEIDecodedPictureHash=1_SEIDecodedPictureHash=1_dummy_ClassA1_S01_q0_22_F294_T1</t>
  </si>
  <si>
    <t>HM1613_randomaccess_main10_hm1613_SEIDecodedPictureHash=1_SEIDecodedPictureHash=1_SEIDecodedPictureHash=1_dummy_ClassA1_S01_q0_27_F294_T1</t>
  </si>
  <si>
    <t>HM1613_randomaccess_main10_hm1613_SEIDecodedPictureHash=1_SEIDecodedPictureHash=1_SEIDecodedPictureHash=1_dummy_ClassA1_S01_q0_32_F294_T1</t>
  </si>
  <si>
    <t>HM1613_randomaccess_main10_hm1613_SEIDecodedPictureHash=1_SEIDecodedPictureHash=1_SEIDecodedPictureHash=1_dummy_ClassA1_S01_q0_37_F294_T1</t>
  </si>
  <si>
    <t>HM1613_randomaccess_main10_hm1613_SEIDecodedPictureHash=1_SEIDecodedPictureHash=1_SEIDecodedPictureHash=1_dummy_ClassA1_S02_q0_22_F300_T1</t>
  </si>
  <si>
    <t>HM1613_randomaccess_main10_hm1613_SEIDecodedPictureHash=1_SEIDecodedPictureHash=1_SEIDecodedPictureHash=1_dummy_ClassA1_S02_q0_27_F300_T1</t>
  </si>
  <si>
    <t>HM1613_randomaccess_main10_hm1613_SEIDecodedPictureHash=1_SEIDecodedPictureHash=1_SEIDecodedPictureHash=1_dummy_ClassA1_S02_q0_32_F300_T1</t>
  </si>
  <si>
    <t>HM1613_randomaccess_main10_hm1613_SEIDecodedPictureHash=1_SEIDecodedPictureHash=1_SEIDecodedPictureHash=1_dummy_ClassA1_S02_q0_37_F300_T1</t>
  </si>
  <si>
    <t>HM1613_randomaccess_main10_hm1613_SEIDecodedPictureHash=1_SEIDecodedPictureHash=1_SEIDecodedPictureHash=1_dummy_ClassA1_S03_q0_22_F300_T1</t>
  </si>
  <si>
    <t>HM1613_randomaccess_main10_hm1613_SEIDecodedPictureHash=1_SEIDecodedPictureHash=1_SEIDecodedPictureHash=1_dummy_ClassA1_S03_q0_27_F300_T1</t>
  </si>
  <si>
    <t>HM1613_randomaccess_main10_hm1613_SEIDecodedPictureHash=1_SEIDecodedPictureHash=1_SEIDecodedPictureHash=1_dummy_ClassA1_S03_q0_32_F300_T1</t>
  </si>
  <si>
    <t>HM1613_randomaccess_main10_hm1613_SEIDecodedPictureHash=1_SEIDecodedPictureHash=1_SEIDecodedPictureHash=1_dummy_ClassA1_S03_q0_37_F300_T1</t>
  </si>
  <si>
    <t>HM1613_randomaccess_main10_hm1613_SEIDecodedPictureHash=1_SEIDecodedPictureHash=1_SEIDecodedPictureHash=1_dummy_ClassA1_S04_q0_22_F300_T1</t>
  </si>
  <si>
    <t>HM1613_randomaccess_main10_hm1613_SEIDecodedPictureHash=1_SEIDecodedPictureHash=1_SEIDecodedPictureHash=1_dummy_ClassA1_S04_q0_27_F300_T1</t>
  </si>
  <si>
    <t>HM1613_randomaccess_main10_hm1613_SEIDecodedPictureHash=1_SEIDecodedPictureHash=1_SEIDecodedPictureHash=1_dummy_ClassA1_S04_q0_32_F300_T1</t>
  </si>
  <si>
    <t>HM1613_randomaccess_main10_hm1613_SEIDecodedPictureHash=1_SEIDecodedPictureHash=1_SEIDecodedPictureHash=1_dummy_ClassA1_S04_q0_37_F300_T1</t>
  </si>
  <si>
    <t>HM1613_randomaccess_main10_hm1613_SEIDecodedPictureHash=1_SEIDecodedPictureHash=1_SEIDecodedPictureHash=1_dummy_ClassA2_S01_q0_22_F300_T1</t>
  </si>
  <si>
    <t>HM1613_randomaccess_main10_hm1613_SEIDecodedPictureHash=1_SEIDecodedPictureHash=1_SEIDecodedPictureHash=1_dummy_ClassA2_S01_q0_27_F300_T1</t>
  </si>
  <si>
    <t>HM1613_randomaccess_main10_hm1613_SEIDecodedPictureHash=1_SEIDecodedPictureHash=1_SEIDecodedPictureHash=1_dummy_ClassA2_S01_q0_32_F300_T1</t>
  </si>
  <si>
    <t>HM1613_randomaccess_main10_hm1613_SEIDecodedPictureHash=1_SEIDecodedPictureHash=1_SEIDecodedPictureHash=1_dummy_ClassA2_S01_q0_37_F300_T1</t>
  </si>
  <si>
    <t>HM1613_randomaccess_main10_hm1613_SEIDecodedPictureHash=1_SEIDecodedPictureHash=1_SEIDecodedPictureHash=1_dummy_ClassA2_S02_q0_22_F300_T1</t>
  </si>
  <si>
    <t>HM1613_randomaccess_main10_hm1613_SEIDecodedPictureHash=1_SEIDecodedPictureHash=1_SEIDecodedPictureHash=1_dummy_ClassA2_S02_q0_27_F300_T1</t>
  </si>
  <si>
    <t>HM1613_randomaccess_main10_hm1613_SEIDecodedPictureHash=1_SEIDecodedPictureHash=1_SEIDecodedPictureHash=1_dummy_ClassA2_S02_q0_32_F300_T1</t>
  </si>
  <si>
    <t>HM1613_randomaccess_main10_hm1613_SEIDecodedPictureHash=1_SEIDecodedPictureHash=1_SEIDecodedPictureHash=1_dummy_ClassA2_S02_q0_37_F300_T1</t>
  </si>
  <si>
    <t>HM1613_randomaccess_main10_hm1613_SEIDecodedPictureHash=1_SEIDecodedPictureHash=1_SEIDecodedPictureHash=1_dummy_ClassA2_S03_q0_22_F300_T1</t>
  </si>
  <si>
    <t>HM1613_randomaccess_main10_hm1613_SEIDecodedPictureHash=1_SEIDecodedPictureHash=1_SEIDecodedPictureHash=1_dummy_ClassA2_S03_q0_27_F300_T1</t>
  </si>
  <si>
    <t>HM1613_randomaccess_main10_hm1613_SEIDecodedPictureHash=1_SEIDecodedPictureHash=1_SEIDecodedPictureHash=1_dummy_ClassA2_S03_q0_32_F300_T1</t>
  </si>
  <si>
    <t>HM1613_randomaccess_main10_hm1613_SEIDecodedPictureHash=1_SEIDecodedPictureHash=1_SEIDecodedPictureHash=1_dummy_ClassA2_S03_q0_37_F300_T1</t>
  </si>
  <si>
    <t>HM1613_randomaccess_main10_hm1613_SEIDecodedPictureHash=1_SEIDecodedPictureHash=1_SEIDecodedPictureHash=1_dummy_ClassA2_S04_q0_22_F300_T1</t>
  </si>
  <si>
    <t>HM1613_randomaccess_main10_hm1613_SEIDecodedPictureHash=1_SEIDecodedPictureHash=1_SEIDecodedPictureHash=1_dummy_ClassA2_S04_q0_27_F300_T1</t>
  </si>
  <si>
    <t>HM1613_randomaccess_main10_hm1613_SEIDecodedPictureHash=1_SEIDecodedPictureHash=1_SEIDecodedPictureHash=1_dummy_ClassA2_S04_q0_32_F300_T1</t>
  </si>
  <si>
    <t>HM1613_randomaccess_main10_hm1613_SEIDecodedPictureHash=1_SEIDecodedPictureHash=1_SEIDecodedPictureHash=1_dummy_ClassA2_S04_q0_37_F300_T1</t>
  </si>
  <si>
    <t>HM1613_randomaccess_main10_hm1613_SEIDecodedPictureHash=1_SEIDecodedPictureHash=1_SEIDecodedPictureHash=1_dummy_ClassB_S01_q0_22_F240_T1</t>
  </si>
  <si>
    <t>HM1613_randomaccess_main10_hm1613_SEIDecodedPictureHash=1_SEIDecodedPictureHash=1_SEIDecodedPictureHash=1_dummy_ClassB_S01_q0_27_F240_T1</t>
  </si>
  <si>
    <t>HM1613_randomaccess_main10_hm1613_SEIDecodedPictureHash=1_SEIDecodedPictureHash=1_SEIDecodedPictureHash=1_dummy_ClassB_S01_q0_32_F240_T1</t>
  </si>
  <si>
    <t>HM1613_randomaccess_main10_hm1613_SEIDecodedPictureHash=1_SEIDecodedPictureHash=1_SEIDecodedPictureHash=1_dummy_ClassB_S01_q0_37_F240_T1</t>
  </si>
  <si>
    <t>HM1613_randomaccess_main10_hm1613_SEIDecodedPictureHash=1_SEIDecodedPictureHash=1_SEIDecodedPictureHash=1_dummy_ClassB_S02_q0_22_F240_T1</t>
  </si>
  <si>
    <t>HM1613_randomaccess_main10_hm1613_SEIDecodedPictureHash=1_SEIDecodedPictureHash=1_SEIDecodedPictureHash=1_dummy_ClassB_S02_q0_27_F240_T1</t>
  </si>
  <si>
    <t>HM1613_randomaccess_main10_hm1613_SEIDecodedPictureHash=1_SEIDecodedPictureHash=1_SEIDecodedPictureHash=1_dummy_ClassB_S02_q0_32_F240_T1</t>
  </si>
  <si>
    <t>HM1613_randomaccess_main10_hm1613_SEIDecodedPictureHash=1_SEIDecodedPictureHash=1_SEIDecodedPictureHash=1_dummy_ClassB_S02_q0_37_F240_T1</t>
  </si>
  <si>
    <t>HM1613_randomaccess_main10_hm1613_SEIDecodedPictureHash=1_SEIDecodedPictureHash=1_SEIDecodedPictureHash=1_dummy_ClassB_S03_q0_22_F500_T1</t>
  </si>
  <si>
    <t>HM1613_randomaccess_main10_hm1613_SEIDecodedPictureHash=1_SEIDecodedPictureHash=1_SEIDecodedPictureHash=1_dummy_ClassB_S03_q0_27_F500_T1</t>
  </si>
  <si>
    <t>HM1613_randomaccess_main10_hm1613_SEIDecodedPictureHash=1_SEIDecodedPictureHash=1_SEIDecodedPictureHash=1_dummy_ClassB_S03_q0_32_F500_T1</t>
  </si>
  <si>
    <t>HM1613_randomaccess_main10_hm1613_SEIDecodedPictureHash=1_SEIDecodedPictureHash=1_SEIDecodedPictureHash=1_dummy_ClassB_S03_q0_37_F500_T1</t>
  </si>
  <si>
    <t>HM1613_randomaccess_main10_hm1613_SEIDecodedPictureHash=1_SEIDecodedPictureHash=1_SEIDecodedPictureHash=1_dummy_ClassB_S04_q0_22_F500_T1</t>
  </si>
  <si>
    <t>HM1613_randomaccess_main10_hm1613_SEIDecodedPictureHash=1_SEIDecodedPictureHash=1_SEIDecodedPictureHash=1_dummy_ClassB_S04_q0_27_F500_T1</t>
  </si>
  <si>
    <t>HM1613_randomaccess_main10_hm1613_SEIDecodedPictureHash=1_SEIDecodedPictureHash=1_SEIDecodedPictureHash=1_dummy_ClassB_S04_q0_32_F500_T1</t>
  </si>
  <si>
    <t>HM1613_randomaccess_main10_hm1613_SEIDecodedPictureHash=1_SEIDecodedPictureHash=1_SEIDecodedPictureHash=1_dummy_ClassB_S04_q0_37_F500_T1</t>
  </si>
  <si>
    <t>HM1613_randomaccess_main10_hm1613_SEIDecodedPictureHash=1_SEIDecodedPictureHash=1_SEIDecodedPictureHash=1_dummy_ClassB_S05_q0_22_F600_T1</t>
  </si>
  <si>
    <t>HM1613_randomaccess_main10_hm1613_SEIDecodedPictureHash=1_SEIDecodedPictureHash=1_SEIDecodedPictureHash=1_dummy_ClassB_S05_q0_27_F600_T1</t>
  </si>
  <si>
    <t>HM1613_randomaccess_main10_hm1613_SEIDecodedPictureHash=1_SEIDecodedPictureHash=1_SEIDecodedPictureHash=1_dummy_ClassB_S05_q0_32_F600_T1</t>
  </si>
  <si>
    <t>HM1613_randomaccess_main10_hm1613_SEIDecodedPictureHash=1_SEIDecodedPictureHash=1_SEIDecodedPictureHash=1_dummy_ClassB_S05_q0_37_F600_T1</t>
  </si>
  <si>
    <t>HM1613_randomaccess_main10_hm1613_SEIDecodedPictureHash=1_SEIDecodedPictureHash=1_SEIDecodedPictureHash=1_dummy_ClassC_S01_q0_22_F500_T1</t>
  </si>
  <si>
    <t>HM1613_randomaccess_main10_hm1613_SEIDecodedPictureHash=1_SEIDecodedPictureHash=1_SEIDecodedPictureHash=1_dummy_ClassC_S01_q0_27_F500_T1</t>
  </si>
  <si>
    <t>HM1613_randomaccess_main10_hm1613_SEIDecodedPictureHash=1_SEIDecodedPictureHash=1_SEIDecodedPictureHash=1_dummy_ClassC_S01_q0_32_F500_T1</t>
  </si>
  <si>
    <t>HM1613_randomaccess_main10_hm1613_SEIDecodedPictureHash=1_SEIDecodedPictureHash=1_SEIDecodedPictureHash=1_dummy_ClassC_S01_q0_37_F500_T1</t>
  </si>
  <si>
    <t>HM1613_randomaccess_main10_hm1613_SEIDecodedPictureHash=1_SEIDecodedPictureHash=1_SEIDecodedPictureHash=1_dummy_ClassC_S02_q0_22_F600_T1</t>
  </si>
  <si>
    <t>HM1613_randomaccess_main10_hm1613_SEIDecodedPictureHash=1_SEIDecodedPictureHash=1_SEIDecodedPictureHash=1_dummy_ClassC_S02_q0_27_F600_T1</t>
  </si>
  <si>
    <t>HM1613_randomaccess_main10_hm1613_SEIDecodedPictureHash=1_SEIDecodedPictureHash=1_SEIDecodedPictureHash=1_dummy_ClassC_S02_q0_32_F600_T1</t>
  </si>
  <si>
    <t>HM1613_randomaccess_main10_hm1613_SEIDecodedPictureHash=1_SEIDecodedPictureHash=1_SEIDecodedPictureHash=1_dummy_ClassC_S02_q0_37_F600_T1</t>
  </si>
  <si>
    <t>HM1613_randomaccess_main10_hm1613_SEIDecodedPictureHash=1_SEIDecodedPictureHash=1_SEIDecodedPictureHash=1_dummy_ClassC_S03_q0_22_F500_T1</t>
  </si>
  <si>
    <t>HM1613_randomaccess_main10_hm1613_SEIDecodedPictureHash=1_SEIDecodedPictureHash=1_SEIDecodedPictureHash=1_dummy_ClassC_S03_q0_27_F500_T1</t>
  </si>
  <si>
    <t>HM1613_randomaccess_main10_hm1613_SEIDecodedPictureHash=1_SEIDecodedPictureHash=1_SEIDecodedPictureHash=1_dummy_ClassC_S03_q0_32_F500_T1</t>
  </si>
  <si>
    <t>HM1613_randomaccess_main10_hm1613_SEIDecodedPictureHash=1_SEIDecodedPictureHash=1_SEIDecodedPictureHash=1_dummy_ClassC_S03_q0_37_F500_T1</t>
  </si>
  <si>
    <t>HM1613_randomaccess_main10_hm1613_SEIDecodedPictureHash=1_SEIDecodedPictureHash=1_SEIDecodedPictureHash=1_dummy_ClassC_S04_q0_22_F300_T1</t>
  </si>
  <si>
    <t>HM1613_randomaccess_main10_hm1613_SEIDecodedPictureHash=1_SEIDecodedPictureHash=1_SEIDecodedPictureHash=1_dummy_ClassC_S04_q0_27_F300_T1</t>
  </si>
  <si>
    <t>HM1613_randomaccess_main10_hm1613_SEIDecodedPictureHash=1_SEIDecodedPictureHash=1_SEIDecodedPictureHash=1_dummy_ClassC_S04_q0_32_F300_T1</t>
  </si>
  <si>
    <t>HM1613_randomaccess_main10_hm1613_SEIDecodedPictureHash=1_SEIDecodedPictureHash=1_SEIDecodedPictureHash=1_dummy_ClassC_S04_q0_37_F300_T1</t>
  </si>
  <si>
    <t>HM1613_randomaccess_main10_hm1613_SEIDecodedPictureHash=1_SEIDecodedPictureHash=1_SEIDecodedPictureHash=1_dummy_ClassD_S01_q0_22_F500_T1</t>
  </si>
  <si>
    <t>HM1613_randomaccess_main10_hm1613_SEIDecodedPictureHash=1_SEIDecodedPictureHash=1_SEIDecodedPictureHash=1_dummy_ClassD_S01_q0_27_F500_T1</t>
  </si>
  <si>
    <t>HM1613_randomaccess_main10_hm1613_SEIDecodedPictureHash=1_SEIDecodedPictureHash=1_SEIDecodedPictureHash=1_dummy_ClassD_S01_q0_32_F500_T1</t>
  </si>
  <si>
    <t>HM1613_randomaccess_main10_hm1613_SEIDecodedPictureHash=1_SEIDecodedPictureHash=1_SEIDecodedPictureHash=1_dummy_ClassD_S01_q0_37_F500_T1</t>
  </si>
  <si>
    <t>HM1613_randomaccess_main10_hm1613_SEIDecodedPictureHash=1_SEIDecodedPictureHash=1_SEIDecodedPictureHash=1_dummy_ClassD_S02_q0_22_F600_T1</t>
  </si>
  <si>
    <t>HM1613_randomaccess_main10_hm1613_SEIDecodedPictureHash=1_SEIDecodedPictureHash=1_SEIDecodedPictureHash=1_dummy_ClassD_S02_q0_27_F600_T1</t>
  </si>
  <si>
    <t>HM1613_randomaccess_main10_hm1613_SEIDecodedPictureHash=1_SEIDecodedPictureHash=1_SEIDecodedPictureHash=1_dummy_ClassD_S02_q0_32_F600_T1</t>
  </si>
  <si>
    <t>HM1613_randomaccess_main10_hm1613_SEIDecodedPictureHash=1_SEIDecodedPictureHash=1_SEIDecodedPictureHash=1_dummy_ClassD_S02_q0_37_F600_T1</t>
  </si>
  <si>
    <t>HM1613_randomaccess_main10_hm1613_SEIDecodedPictureHash=1_SEIDecodedPictureHash=1_SEIDecodedPictureHash=1_dummy_ClassD_S03_q0_22_F500_T1</t>
  </si>
  <si>
    <t>HM1613_randomaccess_main10_hm1613_SEIDecodedPictureHash=1_SEIDecodedPictureHash=1_SEIDecodedPictureHash=1_dummy_ClassD_S03_q0_27_F500_T1</t>
  </si>
  <si>
    <t>HM1613_randomaccess_main10_hm1613_SEIDecodedPictureHash=1_SEIDecodedPictureHash=1_SEIDecodedPictureHash=1_dummy_ClassD_S03_q0_32_F500_T1</t>
  </si>
  <si>
    <t>HM1613_randomaccess_main10_hm1613_SEIDecodedPictureHash=1_SEIDecodedPictureHash=1_SEIDecodedPictureHash=1_dummy_ClassD_S03_q0_37_F500_T1</t>
  </si>
  <si>
    <t>HM1613_randomaccess_main10_hm1613_SEIDecodedPictureHash=1_SEIDecodedPictureHash=1_SEIDecodedPictureHash=1_dummy_ClassD_S04_q0_22_F300_T1</t>
  </si>
  <si>
    <t>HM1613_randomaccess_main10_hm1613_SEIDecodedPictureHash=1_SEIDecodedPictureHash=1_SEIDecodedPictureHash=1_dummy_ClassD_S04_q0_27_F300_T1</t>
  </si>
  <si>
    <t>HM1613_randomaccess_main10_hm1613_SEIDecodedPictureHash=1_SEIDecodedPictureHash=1_SEIDecodedPictureHash=1_dummy_ClassD_S04_q0_32_F300_T1</t>
  </si>
  <si>
    <t>HM1613_randomaccess_main10_hm1613_SEIDecodedPictureHash=1_SEIDecodedPictureHash=1_SEIDecodedPictureHash=1_dummy_ClassD_S04_q0_37_F300_T1</t>
  </si>
  <si>
    <t>HM1613_randomaccess_main10_hm1613_SEIDecodedPictureHash=1_SEIDecodedPictureHash=1_SEIDecodedPictureHash=1_dummy_ClassE_S01_q0_22_F600_T1</t>
  </si>
  <si>
    <t>HM1613_randomaccess_main10_hm1613_SEIDecodedPictureHash=1_SEIDecodedPictureHash=1_SEIDecodedPictureHash=1_dummy_ClassE_S01_q0_27_F600_T1</t>
  </si>
  <si>
    <t>HM1613_randomaccess_main10_hm1613_SEIDecodedPictureHash=1_SEIDecodedPictureHash=1_SEIDecodedPictureHash=1_dummy_ClassE_S01_q0_32_F600_T1</t>
  </si>
  <si>
    <t>HM1613_randomaccess_main10_hm1613_SEIDecodedPictureHash=1_SEIDecodedPictureHash=1_SEIDecodedPictureHash=1_dummy_ClassE_S01_q0_37_F600_T1</t>
  </si>
  <si>
    <t>HM1613_randomaccess_main10_hm1613_SEIDecodedPictureHash=1_SEIDecodedPictureHash=1_SEIDecodedPictureHash=1_dummy_ClassE_S02_q0_22_F600_T1</t>
  </si>
  <si>
    <t>HM1613_randomaccess_main10_hm1613_SEIDecodedPictureHash=1_SEIDecodedPictureHash=1_SEIDecodedPictureHash=1_dummy_ClassE_S02_q0_27_F600_T1</t>
  </si>
  <si>
    <t>HM1613_randomaccess_main10_hm1613_SEIDecodedPictureHash=1_SEIDecodedPictureHash=1_SEIDecodedPictureHash=1_dummy_ClassE_S02_q0_32_F600_T1</t>
  </si>
  <si>
    <t>HM1613_randomaccess_main10_hm1613_SEIDecodedPictureHash=1_SEIDecodedPictureHash=1_SEIDecodedPictureHash=1_dummy_ClassE_S02_q0_37_F600_T1</t>
  </si>
  <si>
    <t>HM1613_randomaccess_main10_hm1613_SEIDecodedPictureHash=1_SEIDecodedPictureHash=1_SEIDecodedPictureHash=1_dummy_ClassE_S03_q0_22_F600_T1</t>
  </si>
  <si>
    <t>HM1613_randomaccess_main10_hm1613_SEIDecodedPictureHash=1_SEIDecodedPictureHash=1_SEIDecodedPictureHash=1_dummy_ClassE_S03_q0_27_F600_T1</t>
  </si>
  <si>
    <t>HM1613_randomaccess_main10_hm1613_SEIDecodedPictureHash=1_SEIDecodedPictureHash=1_SEIDecodedPictureHash=1_dummy_ClassE_S03_q0_32_F600_T1</t>
  </si>
  <si>
    <t>HM1613_randomaccess_main10_hm1613_SEIDecodedPictureHash=1_SEIDecodedPictureHash=1_SEIDecodedPictureHash=1_dummy_ClassE_S03_q0_37_F600_T1</t>
  </si>
  <si>
    <t>HM1613_randomaccess_main10_hm1613_SEIDecodedPictureHash=1_SEIDecodedPictureHash=1_SEIDecodedPictureHash=1_dummy_ClassF_S01_q0_22_F500_T1</t>
  </si>
  <si>
    <t>HM1613_randomaccess_main10_hm1613_SEIDecodedPictureHash=1_SEIDecodedPictureHash=1_SEIDecodedPictureHash=1_dummy_ClassF_S01_q0_27_F500_T1</t>
  </si>
  <si>
    <t>HM1613_randomaccess_main10_hm1613_SEIDecodedPictureHash=1_SEIDecodedPictureHash=1_SEIDecodedPictureHash=1_dummy_ClassF_S01_q0_32_F500_T1</t>
  </si>
  <si>
    <t>HM1613_randomaccess_main10_hm1613_SEIDecodedPictureHash=1_SEIDecodedPictureHash=1_SEIDecodedPictureHash=1_dummy_ClassF_S01_q0_37_F500_T1</t>
  </si>
  <si>
    <t>HM1613_randomaccess_main10_hm1613_SEIDecodedPictureHash=1_SEIDecodedPictureHash=1_SEIDecodedPictureHash=1_dummy_ClassF_S02_q0_22_F500_T1</t>
  </si>
  <si>
    <t>HM1613_randomaccess_main10_hm1613_SEIDecodedPictureHash=1_SEIDecodedPictureHash=1_SEIDecodedPictureHash=1_dummy_ClassF_S02_q0_27_F500_T1</t>
  </si>
  <si>
    <t>HM1613_randomaccess_main10_hm1613_SEIDecodedPictureHash=1_SEIDecodedPictureHash=1_SEIDecodedPictureHash=1_dummy_ClassF_S02_q0_32_F500_T1</t>
  </si>
  <si>
    <t>HM1613_randomaccess_main10_hm1613_SEIDecodedPictureHash=1_SEIDecodedPictureHash=1_SEIDecodedPictureHash=1_dummy_ClassF_S02_q0_37_F500_T1</t>
  </si>
  <si>
    <t>HM1613_randomaccess_main10_hm1613_SEIDecodedPictureHash=1_SEIDecodedPictureHash=1_SEIDecodedPictureHash=1_dummy_ClassF_S03_q0_22_F300_T1</t>
  </si>
  <si>
    <t>HM1613_randomaccess_main10_hm1613_SEIDecodedPictureHash=1_SEIDecodedPictureHash=1_SEIDecodedPictureHash=1_dummy_ClassF_S03_q0_27_F300_T1</t>
  </si>
  <si>
    <t>HM1613_randomaccess_main10_hm1613_SEIDecodedPictureHash=1_SEIDecodedPictureHash=1_SEIDecodedPictureHash=1_dummy_ClassF_S03_q0_32_F300_T1</t>
  </si>
  <si>
    <t>HM1613_randomaccess_main10_hm1613_SEIDecodedPictureHash=1_SEIDecodedPictureHash=1_SEIDecodedPictureHash=1_dummy_ClassF_S03_q0_37_F300_T1</t>
  </si>
  <si>
    <t>HM1613_randomaccess_main10_hm1613_SEIDecodedPictureHash=1_SEIDecodedPictureHash=1_SEIDecodedPictureHash=1_dummy_ClassF_S04_q0_22_F500_T1</t>
  </si>
  <si>
    <t>HM1613_randomaccess_main10_hm1613_SEIDecodedPictureHash=1_SEIDecodedPictureHash=1_SEIDecodedPictureHash=1_dummy_ClassF_S04_q0_27_F500_T1</t>
  </si>
  <si>
    <t>HM1613_randomaccess_main10_hm1613_SEIDecodedPictureHash=1_SEIDecodedPictureHash=1_SEIDecodedPictureHash=1_dummy_ClassF_S04_q0_32_F500_T1</t>
  </si>
  <si>
    <t>HM1613_randomaccess_main10_hm1613_SEIDecodedPictureHash=1_SEIDecodedPictureHash=1_SEIDecodedPictureHash=1_dummy_ClassF_S04_q0_37_F500_T1</t>
  </si>
  <si>
    <t>HM1613_lowdelay_main10_hm1613_SEIDecodedPictureHash=1_SEIDecodedPictureHash=1_SEIDecodedPictureHash=1_dummy_ClassA1_S01_q0_22_F294_T1</t>
  </si>
  <si>
    <t>HM1613_lowdelay_main10_hm1613_SEIDecodedPictureHash=1_SEIDecodedPictureHash=1_SEIDecodedPictureHash=1_dummy_ClassA1_S01_q0_27_F294_T1</t>
  </si>
  <si>
    <t>HM1613_lowdelay_main10_hm1613_SEIDecodedPictureHash=1_SEIDecodedPictureHash=1_SEIDecodedPictureHash=1_dummy_ClassA1_S01_q0_32_F294_T1</t>
  </si>
  <si>
    <t>HM1613_lowdelay_main10_hm1613_SEIDecodedPictureHash=1_SEIDecodedPictureHash=1_SEIDecodedPictureHash=1_dummy_ClassA1_S01_q0_37_F294_T1</t>
  </si>
  <si>
    <t>HM1613_lowdelay_main10_hm1613_SEIDecodedPictureHash=1_SEIDecodedPictureHash=1_SEIDecodedPictureHash=1_dummy_ClassA1_S02_q0_22_F300_T1</t>
  </si>
  <si>
    <t>HM1613_lowdelay_main10_hm1613_SEIDecodedPictureHash=1_SEIDecodedPictureHash=1_SEIDecodedPictureHash=1_dummy_ClassA1_S02_q0_27_F300_T1</t>
  </si>
  <si>
    <t>HM1613_lowdelay_main10_hm1613_SEIDecodedPictureHash=1_SEIDecodedPictureHash=1_SEIDecodedPictureHash=1_dummy_ClassA1_S02_q0_32_F300_T1</t>
  </si>
  <si>
    <t>HM1613_lowdelay_main10_hm1613_SEIDecodedPictureHash=1_SEIDecodedPictureHash=1_SEIDecodedPictureHash=1_dummy_ClassA1_S02_q0_37_F300_T1</t>
  </si>
  <si>
    <t>HM1613_lowdelay_main10_hm1613_SEIDecodedPictureHash=1_SEIDecodedPictureHash=1_SEIDecodedPictureHash=1_dummy_ClassA1_S03_q0_22_F300_T1</t>
  </si>
  <si>
    <t>HM1613_lowdelay_main10_hm1613_SEIDecodedPictureHash=1_SEIDecodedPictureHash=1_SEIDecodedPictureHash=1_dummy_ClassA1_S03_q0_27_F300_T1</t>
  </si>
  <si>
    <t>HM1613_lowdelay_main10_hm1613_SEIDecodedPictureHash=1_SEIDecodedPictureHash=1_SEIDecodedPictureHash=1_dummy_ClassA1_S03_q0_32_F300_T1</t>
  </si>
  <si>
    <t>HM1613_lowdelay_main10_hm1613_SEIDecodedPictureHash=1_SEIDecodedPictureHash=1_SEIDecodedPictureHash=1_dummy_ClassA1_S03_q0_37_F300_T1</t>
  </si>
  <si>
    <t>HM1613_lowdelay_main10_hm1613_SEIDecodedPictureHash=1_SEIDecodedPictureHash=1_SEIDecodedPictureHash=1_dummy_ClassA1_S04_q0_22_F300_T1</t>
  </si>
  <si>
    <t>HM1613_lowdelay_main10_hm1613_SEIDecodedPictureHash=1_SEIDecodedPictureHash=1_SEIDecodedPictureHash=1_dummy_ClassA1_S04_q0_27_F300_T1</t>
  </si>
  <si>
    <t>HM1613_lowdelay_main10_hm1613_SEIDecodedPictureHash=1_SEIDecodedPictureHash=1_SEIDecodedPictureHash=1_dummy_ClassA1_S04_q0_32_F300_T1</t>
  </si>
  <si>
    <t>HM1613_lowdelay_main10_hm1613_SEIDecodedPictureHash=1_SEIDecodedPictureHash=1_SEIDecodedPictureHash=1_dummy_ClassA1_S04_q0_37_F300_T1</t>
  </si>
  <si>
    <t>HM1613_lowdelay_main10_hm1613_SEIDecodedPictureHash=1_SEIDecodedPictureHash=1_SEIDecodedPictureHash=1_dummy_ClassA2_S01_q0_22_F300_T1</t>
  </si>
  <si>
    <t>HM1613_lowdelay_main10_hm1613_SEIDecodedPictureHash=1_SEIDecodedPictureHash=1_SEIDecodedPictureHash=1_dummy_ClassA2_S01_q0_27_F300_T1</t>
  </si>
  <si>
    <t>HM1613_lowdelay_main10_hm1613_SEIDecodedPictureHash=1_SEIDecodedPictureHash=1_SEIDecodedPictureHash=1_dummy_ClassA2_S01_q0_32_F300_T1</t>
  </si>
  <si>
    <t>HM1613_lowdelay_main10_hm1613_SEIDecodedPictureHash=1_SEIDecodedPictureHash=1_SEIDecodedPictureHash=1_dummy_ClassA2_S01_q0_37_F300_T1</t>
  </si>
  <si>
    <t>HM1613_lowdelay_main10_hm1613_SEIDecodedPictureHash=1_SEIDecodedPictureHash=1_SEIDecodedPictureHash=1_dummy_ClassA2_S02_q0_22_F300_T1</t>
  </si>
  <si>
    <t>HM1613_lowdelay_main10_hm1613_SEIDecodedPictureHash=1_SEIDecodedPictureHash=1_SEIDecodedPictureHash=1_dummy_ClassA2_S02_q0_27_F300_T1</t>
  </si>
  <si>
    <t>HM1613_lowdelay_main10_hm1613_SEIDecodedPictureHash=1_SEIDecodedPictureHash=1_SEIDecodedPictureHash=1_dummy_ClassA2_S02_q0_32_F300_T1</t>
  </si>
  <si>
    <t>HM1613_lowdelay_main10_hm1613_SEIDecodedPictureHash=1_SEIDecodedPictureHash=1_SEIDecodedPictureHash=1_dummy_ClassA2_S02_q0_37_F300_T1</t>
  </si>
  <si>
    <t>HM1613_lowdelay_main10_hm1613_SEIDecodedPictureHash=1_SEIDecodedPictureHash=1_SEIDecodedPictureHash=1_dummy_ClassA2_S03_q0_22_F300_T1</t>
  </si>
  <si>
    <t>HM1613_lowdelay_main10_hm1613_SEIDecodedPictureHash=1_SEIDecodedPictureHash=1_SEIDecodedPictureHash=1_dummy_ClassA2_S03_q0_27_F300_T1</t>
  </si>
  <si>
    <t>HM1613_lowdelay_main10_hm1613_SEIDecodedPictureHash=1_SEIDecodedPictureHash=1_SEIDecodedPictureHash=1_dummy_ClassA2_S03_q0_32_F300_T1</t>
  </si>
  <si>
    <t>HM1613_lowdelay_main10_hm1613_SEIDecodedPictureHash=1_SEIDecodedPictureHash=1_SEIDecodedPictureHash=1_dummy_ClassA2_S03_q0_37_F300_T1</t>
  </si>
  <si>
    <t>HM1613_lowdelay_main10_hm1613_SEIDecodedPictureHash=1_SEIDecodedPictureHash=1_SEIDecodedPictureHash=1_dummy_ClassA2_S04_q0_22_F300_T1</t>
  </si>
  <si>
    <t>HM1613_lowdelay_main10_hm1613_SEIDecodedPictureHash=1_SEIDecodedPictureHash=1_SEIDecodedPictureHash=1_dummy_ClassA2_S04_q0_27_F300_T1</t>
  </si>
  <si>
    <t>HM1613_lowdelay_main10_hm1613_SEIDecodedPictureHash=1_SEIDecodedPictureHash=1_SEIDecodedPictureHash=1_dummy_ClassA2_S04_q0_32_F300_T1</t>
  </si>
  <si>
    <t>HM1613_lowdelay_main10_hm1613_SEIDecodedPictureHash=1_SEIDecodedPictureHash=1_SEIDecodedPictureHash=1_dummy_ClassA2_S04_q0_37_F300_T1</t>
  </si>
  <si>
    <t>HM1613_lowdelay_main10_hm1613_SEIDecodedPictureHash=1_SEIDecodedPictureHash=1_SEIDecodedPictureHash=1_dummy_ClassB_S01_q0_22_F240_T1</t>
  </si>
  <si>
    <t>HM1613_lowdelay_main10_hm1613_SEIDecodedPictureHash=1_SEIDecodedPictureHash=1_SEIDecodedPictureHash=1_dummy_ClassB_S01_q0_27_F240_T1</t>
  </si>
  <si>
    <t>HM1613_lowdelay_main10_hm1613_SEIDecodedPictureHash=1_SEIDecodedPictureHash=1_SEIDecodedPictureHash=1_dummy_ClassB_S01_q0_32_F240_T1</t>
  </si>
  <si>
    <t>HM1613_lowdelay_main10_hm1613_SEIDecodedPictureHash=1_SEIDecodedPictureHash=1_SEIDecodedPictureHash=1_dummy_ClassB_S01_q0_37_F240_T1</t>
  </si>
  <si>
    <t>HM1613_lowdelay_main10_hm1613_SEIDecodedPictureHash=1_SEIDecodedPictureHash=1_SEIDecodedPictureHash=1_dummy_ClassB_S02_q0_22_F240_T1</t>
  </si>
  <si>
    <t>HM1613_lowdelay_main10_hm1613_SEIDecodedPictureHash=1_SEIDecodedPictureHash=1_SEIDecodedPictureHash=1_dummy_ClassB_S02_q0_27_F240_T1</t>
  </si>
  <si>
    <t>HM1613_lowdelay_main10_hm1613_SEIDecodedPictureHash=1_SEIDecodedPictureHash=1_SEIDecodedPictureHash=1_dummy_ClassB_S02_q0_32_F240_T1</t>
  </si>
  <si>
    <t>HM1613_lowdelay_main10_hm1613_SEIDecodedPictureHash=1_SEIDecodedPictureHash=1_SEIDecodedPictureHash=1_dummy_ClassB_S02_q0_37_F240_T1</t>
  </si>
  <si>
    <t>HM1613_lowdelay_main10_hm1613_SEIDecodedPictureHash=1_SEIDecodedPictureHash=1_SEIDecodedPictureHash=1_dummy_ClassB_S03_q0_22_F500_T1</t>
  </si>
  <si>
    <t>HM1613_lowdelay_main10_hm1613_SEIDecodedPictureHash=1_SEIDecodedPictureHash=1_SEIDecodedPictureHash=1_dummy_ClassB_S03_q0_27_F500_T1</t>
  </si>
  <si>
    <t>HM1613_lowdelay_main10_hm1613_SEIDecodedPictureHash=1_SEIDecodedPictureHash=1_SEIDecodedPictureHash=1_dummy_ClassB_S03_q0_32_F500_T1</t>
  </si>
  <si>
    <t>HM1613_lowdelay_main10_hm1613_SEIDecodedPictureHash=1_SEIDecodedPictureHash=1_SEIDecodedPictureHash=1_dummy_ClassB_S03_q0_37_F500_T1</t>
  </si>
  <si>
    <t>HM1613_lowdelay_main10_hm1613_SEIDecodedPictureHash=1_SEIDecodedPictureHash=1_SEIDecodedPictureHash=1_dummy_ClassB_S04_q0_22_F500_T1</t>
  </si>
  <si>
    <t>HM1613_lowdelay_main10_hm1613_SEIDecodedPictureHash=1_SEIDecodedPictureHash=1_SEIDecodedPictureHash=1_dummy_ClassB_S04_q0_27_F500_T1</t>
  </si>
  <si>
    <t>HM1613_lowdelay_main10_hm1613_SEIDecodedPictureHash=1_SEIDecodedPictureHash=1_SEIDecodedPictureHash=1_dummy_ClassB_S04_q0_32_F500_T1</t>
  </si>
  <si>
    <t>HM1613_lowdelay_main10_hm1613_SEIDecodedPictureHash=1_SEIDecodedPictureHash=1_SEIDecodedPictureHash=1_dummy_ClassB_S04_q0_37_F500_T1</t>
  </si>
  <si>
    <t>HM1613_lowdelay_main10_hm1613_SEIDecodedPictureHash=1_SEIDecodedPictureHash=1_SEIDecodedPictureHash=1_dummy_ClassB_S05_q0_22_F600_T1</t>
  </si>
  <si>
    <t>HM1613_lowdelay_main10_hm1613_SEIDecodedPictureHash=1_SEIDecodedPictureHash=1_SEIDecodedPictureHash=1_dummy_ClassB_S05_q0_27_F600_T1</t>
  </si>
  <si>
    <t>HM1613_lowdelay_main10_hm1613_SEIDecodedPictureHash=1_SEIDecodedPictureHash=1_SEIDecodedPictureHash=1_dummy_ClassB_S05_q0_32_F600_T1</t>
  </si>
  <si>
    <t>HM1613_lowdelay_main10_hm1613_SEIDecodedPictureHash=1_SEIDecodedPictureHash=1_SEIDecodedPictureHash=1_dummy_ClassB_S05_q0_37_F600_T1</t>
  </si>
  <si>
    <t>HM1613_lowdelay_main10_hm1613_SEIDecodedPictureHash=1_SEIDecodedPictureHash=1_SEIDecodedPictureHash=1_dummy_ClassC_S01_q0_22_F500_T1</t>
  </si>
  <si>
    <t>HM1613_lowdelay_main10_hm1613_SEIDecodedPictureHash=1_SEIDecodedPictureHash=1_SEIDecodedPictureHash=1_dummy_ClassC_S01_q0_27_F500_T1</t>
  </si>
  <si>
    <t>HM1613_lowdelay_main10_hm1613_SEIDecodedPictureHash=1_SEIDecodedPictureHash=1_SEIDecodedPictureHash=1_dummy_ClassC_S01_q0_32_F500_T1</t>
  </si>
  <si>
    <t>HM1613_lowdelay_main10_hm1613_SEIDecodedPictureHash=1_SEIDecodedPictureHash=1_SEIDecodedPictureHash=1_dummy_ClassC_S01_q0_37_F500_T1</t>
  </si>
  <si>
    <t>HM1613_lowdelay_main10_hm1613_SEIDecodedPictureHash=1_SEIDecodedPictureHash=1_SEIDecodedPictureHash=1_dummy_ClassC_S02_q0_22_F600_T1</t>
  </si>
  <si>
    <t>HM1613_lowdelay_main10_hm1613_SEIDecodedPictureHash=1_SEIDecodedPictureHash=1_SEIDecodedPictureHash=1_dummy_ClassC_S02_q0_27_F600_T1</t>
  </si>
  <si>
    <t>HM1613_lowdelay_main10_hm1613_SEIDecodedPictureHash=1_SEIDecodedPictureHash=1_SEIDecodedPictureHash=1_dummy_ClassC_S02_q0_32_F600_T1</t>
  </si>
  <si>
    <t>HM1613_lowdelay_main10_hm1613_SEIDecodedPictureHash=1_SEIDecodedPictureHash=1_SEIDecodedPictureHash=1_dummy_ClassC_S02_q0_37_F600_T1</t>
  </si>
  <si>
    <t>HM1613_lowdelay_main10_hm1613_SEIDecodedPictureHash=1_SEIDecodedPictureHash=1_SEIDecodedPictureHash=1_dummy_ClassC_S03_q0_22_F500_T1</t>
  </si>
  <si>
    <t>HM1613_lowdelay_main10_hm1613_SEIDecodedPictureHash=1_SEIDecodedPictureHash=1_SEIDecodedPictureHash=1_dummy_ClassC_S03_q0_27_F500_T1</t>
  </si>
  <si>
    <t>HM1613_lowdelay_main10_hm1613_SEIDecodedPictureHash=1_SEIDecodedPictureHash=1_SEIDecodedPictureHash=1_dummy_ClassC_S03_q0_32_F500_T1</t>
  </si>
  <si>
    <t>HM1613_lowdelay_main10_hm1613_SEIDecodedPictureHash=1_SEIDecodedPictureHash=1_SEIDecodedPictureHash=1_dummy_ClassC_S03_q0_37_F500_T1</t>
  </si>
  <si>
    <t>HM1613_lowdelay_main10_hm1613_SEIDecodedPictureHash=1_SEIDecodedPictureHash=1_SEIDecodedPictureHash=1_dummy_ClassC_S04_q0_22_F300_T1</t>
  </si>
  <si>
    <t>HM1613_lowdelay_main10_hm1613_SEIDecodedPictureHash=1_SEIDecodedPictureHash=1_SEIDecodedPictureHash=1_dummy_ClassC_S04_q0_27_F300_T1</t>
  </si>
  <si>
    <t>HM1613_lowdelay_main10_hm1613_SEIDecodedPictureHash=1_SEIDecodedPictureHash=1_SEIDecodedPictureHash=1_dummy_ClassC_S04_q0_32_F300_T1</t>
  </si>
  <si>
    <t>HM1613_lowdelay_main10_hm1613_SEIDecodedPictureHash=1_SEIDecodedPictureHash=1_SEIDecodedPictureHash=1_dummy_ClassC_S04_q0_37_F300_T1</t>
  </si>
  <si>
    <t>HM1613_lowdelay_main10_hm1613_SEIDecodedPictureHash=1_SEIDecodedPictureHash=1_SEIDecodedPictureHash=1_dummy_ClassD_S01_q0_22_F500_T1</t>
  </si>
  <si>
    <t>HM1613_lowdelay_main10_hm1613_SEIDecodedPictureHash=1_SEIDecodedPictureHash=1_SEIDecodedPictureHash=1_dummy_ClassD_S01_q0_27_F500_T1</t>
  </si>
  <si>
    <t>HM1613_lowdelay_main10_hm1613_SEIDecodedPictureHash=1_SEIDecodedPictureHash=1_SEIDecodedPictureHash=1_dummy_ClassD_S01_q0_32_F500_T1</t>
  </si>
  <si>
    <t>HM1613_lowdelay_main10_hm1613_SEIDecodedPictureHash=1_SEIDecodedPictureHash=1_SEIDecodedPictureHash=1_dummy_ClassD_S01_q0_37_F500_T1</t>
  </si>
  <si>
    <t>HM1613_lowdelay_main10_hm1613_SEIDecodedPictureHash=1_SEIDecodedPictureHash=1_SEIDecodedPictureHash=1_dummy_ClassD_S02_q0_22_F600_T1</t>
  </si>
  <si>
    <t>HM1613_lowdelay_main10_hm1613_SEIDecodedPictureHash=1_SEIDecodedPictureHash=1_SEIDecodedPictureHash=1_dummy_ClassD_S02_q0_27_F600_T1</t>
  </si>
  <si>
    <t>HM1613_lowdelay_main10_hm1613_SEIDecodedPictureHash=1_SEIDecodedPictureHash=1_SEIDecodedPictureHash=1_dummy_ClassD_S02_q0_32_F600_T1</t>
  </si>
  <si>
    <t>HM1613_lowdelay_main10_hm1613_SEIDecodedPictureHash=1_SEIDecodedPictureHash=1_SEIDecodedPictureHash=1_dummy_ClassD_S02_q0_37_F600_T1</t>
  </si>
  <si>
    <t>HM1613_lowdelay_main10_hm1613_SEIDecodedPictureHash=1_SEIDecodedPictureHash=1_SEIDecodedPictureHash=1_dummy_ClassD_S03_q0_22_F500_T1</t>
  </si>
  <si>
    <t>HM1613_lowdelay_main10_hm1613_SEIDecodedPictureHash=1_SEIDecodedPictureHash=1_SEIDecodedPictureHash=1_dummy_ClassD_S03_q0_27_F500_T1</t>
  </si>
  <si>
    <t>HM1613_lowdelay_main10_hm1613_SEIDecodedPictureHash=1_SEIDecodedPictureHash=1_SEIDecodedPictureHash=1_dummy_ClassD_S03_q0_32_F500_T1</t>
  </si>
  <si>
    <t>HM1613_lowdelay_main10_hm1613_SEIDecodedPictureHash=1_SEIDecodedPictureHash=1_SEIDecodedPictureHash=1_dummy_ClassD_S03_q0_37_F500_T1</t>
  </si>
  <si>
    <t>HM1613_lowdelay_main10_hm1613_SEIDecodedPictureHash=1_SEIDecodedPictureHash=1_SEIDecodedPictureHash=1_dummy_ClassD_S04_q0_22_F300_T1</t>
  </si>
  <si>
    <t>HM1613_lowdelay_main10_hm1613_SEIDecodedPictureHash=1_SEIDecodedPictureHash=1_SEIDecodedPictureHash=1_dummy_ClassD_S04_q0_27_F300_T1</t>
  </si>
  <si>
    <t>HM1613_lowdelay_main10_hm1613_SEIDecodedPictureHash=1_SEIDecodedPictureHash=1_SEIDecodedPictureHash=1_dummy_ClassD_S04_q0_32_F300_T1</t>
  </si>
  <si>
    <t>HM1613_lowdelay_main10_hm1613_SEIDecodedPictureHash=1_SEIDecodedPictureHash=1_SEIDecodedPictureHash=1_dummy_ClassD_S04_q0_37_F300_T1</t>
  </si>
  <si>
    <t>HM1613_lowdelay_main10_hm1613_SEIDecodedPictureHash=1_SEIDecodedPictureHash=1_SEIDecodedPictureHash=1_dummy_ClassE_S01_q0_22_F600_T1</t>
  </si>
  <si>
    <t>HM1613_lowdelay_main10_hm1613_SEIDecodedPictureHash=1_SEIDecodedPictureHash=1_SEIDecodedPictureHash=1_dummy_ClassE_S01_q0_27_F600_T1</t>
  </si>
  <si>
    <t>HM1613_lowdelay_main10_hm1613_SEIDecodedPictureHash=1_SEIDecodedPictureHash=1_SEIDecodedPictureHash=1_dummy_ClassE_S01_q0_32_F600_T1</t>
  </si>
  <si>
    <t>HM1613_lowdelay_main10_hm1613_SEIDecodedPictureHash=1_SEIDecodedPictureHash=1_SEIDecodedPictureHash=1_dummy_ClassE_S01_q0_37_F600_T1</t>
  </si>
  <si>
    <t>HM1613_lowdelay_main10_hm1613_SEIDecodedPictureHash=1_SEIDecodedPictureHash=1_SEIDecodedPictureHash=1_dummy_ClassE_S02_q0_22_F600_T1</t>
  </si>
  <si>
    <t>HM1613_lowdelay_main10_hm1613_SEIDecodedPictureHash=1_SEIDecodedPictureHash=1_SEIDecodedPictureHash=1_dummy_ClassE_S02_q0_27_F600_T1</t>
  </si>
  <si>
    <t>HM1613_lowdelay_main10_hm1613_SEIDecodedPictureHash=1_SEIDecodedPictureHash=1_SEIDecodedPictureHash=1_dummy_ClassE_S02_q0_32_F600_T1</t>
  </si>
  <si>
    <t>HM1613_lowdelay_main10_hm1613_SEIDecodedPictureHash=1_SEIDecodedPictureHash=1_SEIDecodedPictureHash=1_dummy_ClassE_S02_q0_37_F600_T1</t>
  </si>
  <si>
    <t>HM1613_lowdelay_main10_hm1613_SEIDecodedPictureHash=1_SEIDecodedPictureHash=1_SEIDecodedPictureHash=1_dummy_ClassE_S03_q0_22_F600_T1</t>
  </si>
  <si>
    <t>HM1613_lowdelay_main10_hm1613_SEIDecodedPictureHash=1_SEIDecodedPictureHash=1_SEIDecodedPictureHash=1_dummy_ClassE_S03_q0_27_F600_T1</t>
  </si>
  <si>
    <t>HM1613_lowdelay_main10_hm1613_SEIDecodedPictureHash=1_SEIDecodedPictureHash=1_SEIDecodedPictureHash=1_dummy_ClassE_S03_q0_32_F600_T1</t>
  </si>
  <si>
    <t>HM1613_lowdelay_main10_hm1613_SEIDecodedPictureHash=1_SEIDecodedPictureHash=1_SEIDecodedPictureHash=1_dummy_ClassE_S03_q0_37_F600_T1</t>
  </si>
  <si>
    <t>HM1613_lowdelay_main10_hm1613_SEIDecodedPictureHash=1_SEIDecodedPictureHash=1_SEIDecodedPictureHash=1_dummy_ClassF_S01_q0_22_F500_T1</t>
  </si>
  <si>
    <t>HM1613_lowdelay_main10_hm1613_SEIDecodedPictureHash=1_SEIDecodedPictureHash=1_SEIDecodedPictureHash=1_dummy_ClassF_S01_q0_27_F500_T1</t>
  </si>
  <si>
    <t>HM1613_lowdelay_main10_hm1613_SEIDecodedPictureHash=1_SEIDecodedPictureHash=1_SEIDecodedPictureHash=1_dummy_ClassF_S01_q0_32_F500_T1</t>
  </si>
  <si>
    <t>HM1613_lowdelay_main10_hm1613_SEIDecodedPictureHash=1_SEIDecodedPictureHash=1_SEIDecodedPictureHash=1_dummy_ClassF_S01_q0_37_F500_T1</t>
  </si>
  <si>
    <t>HM1613_lowdelay_main10_hm1613_SEIDecodedPictureHash=1_SEIDecodedPictureHash=1_SEIDecodedPictureHash=1_dummy_ClassF_S02_q0_22_F500_T1</t>
  </si>
  <si>
    <t>HM1613_lowdelay_main10_hm1613_SEIDecodedPictureHash=1_SEIDecodedPictureHash=1_SEIDecodedPictureHash=1_dummy_ClassF_S02_q0_27_F500_T1</t>
  </si>
  <si>
    <t>HM1613_lowdelay_main10_hm1613_SEIDecodedPictureHash=1_SEIDecodedPictureHash=1_SEIDecodedPictureHash=1_dummy_ClassF_S02_q0_32_F500_T1</t>
  </si>
  <si>
    <t>HM1613_lowdelay_main10_hm1613_SEIDecodedPictureHash=1_SEIDecodedPictureHash=1_SEIDecodedPictureHash=1_dummy_ClassF_S02_q0_37_F500_T1</t>
  </si>
  <si>
    <t>HM1613_lowdelay_main10_hm1613_SEIDecodedPictureHash=1_SEIDecodedPictureHash=1_SEIDecodedPictureHash=1_dummy_ClassF_S03_q0_22_F300_T1</t>
  </si>
  <si>
    <t>HM1613_lowdelay_main10_hm1613_SEIDecodedPictureHash=1_SEIDecodedPictureHash=1_SEIDecodedPictureHash=1_dummy_ClassF_S03_q0_27_F300_T1</t>
  </si>
  <si>
    <t>HM1613_lowdelay_main10_hm1613_SEIDecodedPictureHash=1_SEIDecodedPictureHash=1_SEIDecodedPictureHash=1_dummy_ClassF_S03_q0_32_F300_T1</t>
  </si>
  <si>
    <t>HM1613_lowdelay_main10_hm1613_SEIDecodedPictureHash=1_SEIDecodedPictureHash=1_SEIDecodedPictureHash=1_dummy_ClassF_S03_q0_37_F300_T1</t>
  </si>
  <si>
    <t>HM1613_lowdelay_main10_hm1613_SEIDecodedPictureHash=1_SEIDecodedPictureHash=1_SEIDecodedPictureHash=1_dummy_ClassF_S04_q0_22_F500_T1</t>
  </si>
  <si>
    <t>HM1613_lowdelay_main10_hm1613_SEIDecodedPictureHash=1_SEIDecodedPictureHash=1_SEIDecodedPictureHash=1_dummy_ClassF_S04_q0_27_F500_T1</t>
  </si>
  <si>
    <t>HM1613_lowdelay_main10_hm1613_SEIDecodedPictureHash=1_SEIDecodedPictureHash=1_SEIDecodedPictureHash=1_dummy_ClassF_S04_q0_32_F500_T1</t>
  </si>
  <si>
    <t>HM1613_lowdelay_main10_hm1613_SEIDecodedPictureHash=1_SEIDecodedPictureHash=1_SEIDecodedPictureHash=1_dummy_ClassF_S04_q0_37_F500_T1</t>
  </si>
  <si>
    <t>HM1613_lowdelay_P_main10_hm1613_SEIDecodedPictureHash=1_SEIDecodedPictureHash=1_SEIDecodedPictureHash=1_dummy_ClassA1_S01_q0_22_F294_T1</t>
  </si>
  <si>
    <t>HM1613_lowdelay_P_main10_hm1613_SEIDecodedPictureHash=1_SEIDecodedPictureHash=1_SEIDecodedPictureHash=1_dummy_ClassA1_S01_q0_27_F294_T1</t>
  </si>
  <si>
    <t>HM1613_lowdelay_P_main10_hm1613_SEIDecodedPictureHash=1_SEIDecodedPictureHash=1_SEIDecodedPictureHash=1_dummy_ClassA1_S01_q0_32_F294_T1</t>
  </si>
  <si>
    <t>HM1613_lowdelay_P_main10_hm1613_SEIDecodedPictureHash=1_SEIDecodedPictureHash=1_SEIDecodedPictureHash=1_dummy_ClassA1_S01_q0_37_F294_T1</t>
  </si>
  <si>
    <t>HM1613_lowdelay_P_main10_hm1613_SEIDecodedPictureHash=1_SEIDecodedPictureHash=1_SEIDecodedPictureHash=1_dummy_ClassA1_S02_q0_22_F300_T1</t>
  </si>
  <si>
    <t>HM1613_lowdelay_P_main10_hm1613_SEIDecodedPictureHash=1_SEIDecodedPictureHash=1_SEIDecodedPictureHash=1_dummy_ClassA1_S02_q0_27_F300_T1</t>
  </si>
  <si>
    <t>HM1613_lowdelay_P_main10_hm1613_SEIDecodedPictureHash=1_SEIDecodedPictureHash=1_SEIDecodedPictureHash=1_dummy_ClassA1_S02_q0_32_F300_T1</t>
  </si>
  <si>
    <t>HM1613_lowdelay_P_main10_hm1613_SEIDecodedPictureHash=1_SEIDecodedPictureHash=1_SEIDecodedPictureHash=1_dummy_ClassA1_S02_q0_37_F300_T1</t>
  </si>
  <si>
    <t>HM1613_lowdelay_P_main10_hm1613_SEIDecodedPictureHash=1_SEIDecodedPictureHash=1_SEIDecodedPictureHash=1_dummy_ClassA1_S03_q0_22_F300_T1</t>
  </si>
  <si>
    <t>HM1613_lowdelay_P_main10_hm1613_SEIDecodedPictureHash=1_SEIDecodedPictureHash=1_SEIDecodedPictureHash=1_dummy_ClassA1_S03_q0_27_F300_T1</t>
  </si>
  <si>
    <t>HM1613_lowdelay_P_main10_hm1613_SEIDecodedPictureHash=1_SEIDecodedPictureHash=1_SEIDecodedPictureHash=1_dummy_ClassA1_S03_q0_32_F300_T1</t>
  </si>
  <si>
    <t>HM1613_lowdelay_P_main10_hm1613_SEIDecodedPictureHash=1_SEIDecodedPictureHash=1_SEIDecodedPictureHash=1_dummy_ClassA1_S03_q0_37_F300_T1</t>
  </si>
  <si>
    <t>HM1613_lowdelay_P_main10_hm1613_SEIDecodedPictureHash=1_SEIDecodedPictureHash=1_SEIDecodedPictureHash=1_dummy_ClassA1_S04_q0_22_F300_T1</t>
  </si>
  <si>
    <t>HM1613_lowdelay_P_main10_hm1613_SEIDecodedPictureHash=1_SEIDecodedPictureHash=1_SEIDecodedPictureHash=1_dummy_ClassA1_S04_q0_27_F300_T1</t>
  </si>
  <si>
    <t>HM1613_lowdelay_P_main10_hm1613_SEIDecodedPictureHash=1_SEIDecodedPictureHash=1_SEIDecodedPictureHash=1_dummy_ClassA1_S04_q0_32_F300_T1</t>
  </si>
  <si>
    <t>HM1613_lowdelay_P_main10_hm1613_SEIDecodedPictureHash=1_SEIDecodedPictureHash=1_SEIDecodedPictureHash=1_dummy_ClassA1_S04_q0_37_F300_T1</t>
  </si>
  <si>
    <t>HM1613_lowdelay_P_main10_hm1613_SEIDecodedPictureHash=1_SEIDecodedPictureHash=1_SEIDecodedPictureHash=1_dummy_ClassA2_S01_q0_22_F300_T1</t>
  </si>
  <si>
    <t>HM1613_lowdelay_P_main10_hm1613_SEIDecodedPictureHash=1_SEIDecodedPictureHash=1_SEIDecodedPictureHash=1_dummy_ClassA2_S01_q0_27_F300_T1</t>
  </si>
  <si>
    <t>HM1613_lowdelay_P_main10_hm1613_SEIDecodedPictureHash=1_SEIDecodedPictureHash=1_SEIDecodedPictureHash=1_dummy_ClassA2_S01_q0_32_F300_T1</t>
  </si>
  <si>
    <t>HM1613_lowdelay_P_main10_hm1613_SEIDecodedPictureHash=1_SEIDecodedPictureHash=1_SEIDecodedPictureHash=1_dummy_ClassA2_S01_q0_37_F300_T1</t>
  </si>
  <si>
    <t>HM1613_lowdelay_P_main10_hm1613_SEIDecodedPictureHash=1_SEIDecodedPictureHash=1_SEIDecodedPictureHash=1_dummy_ClassA2_S02_q0_22_F300_T1</t>
  </si>
  <si>
    <t>HM1613_lowdelay_P_main10_hm1613_SEIDecodedPictureHash=1_SEIDecodedPictureHash=1_SEIDecodedPictureHash=1_dummy_ClassA2_S02_q0_27_F300_T1</t>
  </si>
  <si>
    <t>HM1613_lowdelay_P_main10_hm1613_SEIDecodedPictureHash=1_SEIDecodedPictureHash=1_SEIDecodedPictureHash=1_dummy_ClassA2_S02_q0_32_F300_T1</t>
  </si>
  <si>
    <t>HM1613_lowdelay_P_main10_hm1613_SEIDecodedPictureHash=1_SEIDecodedPictureHash=1_SEIDecodedPictureHash=1_dummy_ClassA2_S02_q0_37_F300_T1</t>
  </si>
  <si>
    <t>HM1613_lowdelay_P_main10_hm1613_SEIDecodedPictureHash=1_SEIDecodedPictureHash=1_SEIDecodedPictureHash=1_dummy_ClassA2_S03_q0_22_F300_T1</t>
  </si>
  <si>
    <t>HM1613_lowdelay_P_main10_hm1613_SEIDecodedPictureHash=1_SEIDecodedPictureHash=1_SEIDecodedPictureHash=1_dummy_ClassA2_S03_q0_27_F300_T1</t>
  </si>
  <si>
    <t>HM1613_lowdelay_P_main10_hm1613_SEIDecodedPictureHash=1_SEIDecodedPictureHash=1_SEIDecodedPictureHash=1_dummy_ClassA2_S03_q0_32_F300_T1</t>
  </si>
  <si>
    <t>HM1613_lowdelay_P_main10_hm1613_SEIDecodedPictureHash=1_SEIDecodedPictureHash=1_SEIDecodedPictureHash=1_dummy_ClassA2_S03_q0_37_F300_T1</t>
  </si>
  <si>
    <t>HM1613_lowdelay_P_main10_hm1613_SEIDecodedPictureHash=1_SEIDecodedPictureHash=1_SEIDecodedPictureHash=1_dummy_ClassA2_S04_q0_22_F300_T1</t>
  </si>
  <si>
    <t>HM1613_lowdelay_P_main10_hm1613_SEIDecodedPictureHash=1_SEIDecodedPictureHash=1_SEIDecodedPictureHash=1_dummy_ClassA2_S04_q0_27_F300_T1</t>
  </si>
  <si>
    <t>HM1613_lowdelay_P_main10_hm1613_SEIDecodedPictureHash=1_SEIDecodedPictureHash=1_SEIDecodedPictureHash=1_dummy_ClassA2_S04_q0_32_F300_T1</t>
  </si>
  <si>
    <t>HM1613_lowdelay_P_main10_hm1613_SEIDecodedPictureHash=1_SEIDecodedPictureHash=1_SEIDecodedPictureHash=1_dummy_ClassA2_S04_q0_37_F300_T1</t>
  </si>
  <si>
    <t>HM1613_lowdelay_P_main10_hm1613_SEIDecodedPictureHash=1_SEIDecodedPictureHash=1_SEIDecodedPictureHash=1_dummy_ClassB_S01_q0_22_F240_T1</t>
  </si>
  <si>
    <t>HM1613_lowdelay_P_main10_hm1613_SEIDecodedPictureHash=1_SEIDecodedPictureHash=1_SEIDecodedPictureHash=1_dummy_ClassB_S01_q0_27_F240_T1</t>
  </si>
  <si>
    <t>HM1613_lowdelay_P_main10_hm1613_SEIDecodedPictureHash=1_SEIDecodedPictureHash=1_SEIDecodedPictureHash=1_dummy_ClassB_S01_q0_32_F240_T1</t>
  </si>
  <si>
    <t>HM1613_lowdelay_P_main10_hm1613_SEIDecodedPictureHash=1_SEIDecodedPictureHash=1_SEIDecodedPictureHash=1_dummy_ClassB_S01_q0_37_F240_T1</t>
  </si>
  <si>
    <t>HM1613_lowdelay_P_main10_hm1613_SEIDecodedPictureHash=1_SEIDecodedPictureHash=1_SEIDecodedPictureHash=1_dummy_ClassB_S02_q0_22_F240_T1</t>
  </si>
  <si>
    <t>HM1613_lowdelay_P_main10_hm1613_SEIDecodedPictureHash=1_SEIDecodedPictureHash=1_SEIDecodedPictureHash=1_dummy_ClassB_S02_q0_27_F240_T1</t>
  </si>
  <si>
    <t>HM1613_lowdelay_P_main10_hm1613_SEIDecodedPictureHash=1_SEIDecodedPictureHash=1_SEIDecodedPictureHash=1_dummy_ClassB_S02_q0_32_F240_T1</t>
  </si>
  <si>
    <t>HM1613_lowdelay_P_main10_hm1613_SEIDecodedPictureHash=1_SEIDecodedPictureHash=1_SEIDecodedPictureHash=1_dummy_ClassB_S02_q0_37_F240_T1</t>
  </si>
  <si>
    <t>HM1613_lowdelay_P_main10_hm1613_SEIDecodedPictureHash=1_SEIDecodedPictureHash=1_SEIDecodedPictureHash=1_dummy_ClassB_S03_q0_22_F500_T1</t>
  </si>
  <si>
    <t>HM1613_lowdelay_P_main10_hm1613_SEIDecodedPictureHash=1_SEIDecodedPictureHash=1_SEIDecodedPictureHash=1_dummy_ClassB_S03_q0_27_F500_T1</t>
  </si>
  <si>
    <t>HM1613_lowdelay_P_main10_hm1613_SEIDecodedPictureHash=1_SEIDecodedPictureHash=1_SEIDecodedPictureHash=1_dummy_ClassB_S03_q0_32_F500_T1</t>
  </si>
  <si>
    <t>HM1613_lowdelay_P_main10_hm1613_SEIDecodedPictureHash=1_SEIDecodedPictureHash=1_SEIDecodedPictureHash=1_dummy_ClassB_S03_q0_37_F500_T1</t>
  </si>
  <si>
    <t>HM1613_lowdelay_P_main10_hm1613_SEIDecodedPictureHash=1_SEIDecodedPictureHash=1_SEIDecodedPictureHash=1_dummy_ClassB_S04_q0_22_F500_T1</t>
  </si>
  <si>
    <t>HM1613_lowdelay_P_main10_hm1613_SEIDecodedPictureHash=1_SEIDecodedPictureHash=1_SEIDecodedPictureHash=1_dummy_ClassB_S04_q0_27_F500_T1</t>
  </si>
  <si>
    <t>HM1613_lowdelay_P_main10_hm1613_SEIDecodedPictureHash=1_SEIDecodedPictureHash=1_SEIDecodedPictureHash=1_dummy_ClassB_S04_q0_32_F500_T1</t>
  </si>
  <si>
    <t>HM1613_lowdelay_P_main10_hm1613_SEIDecodedPictureHash=1_SEIDecodedPictureHash=1_SEIDecodedPictureHash=1_dummy_ClassB_S04_q0_37_F500_T1</t>
  </si>
  <si>
    <t>HM1613_lowdelay_P_main10_hm1613_SEIDecodedPictureHash=1_SEIDecodedPictureHash=1_SEIDecodedPictureHash=1_dummy_ClassB_S05_q0_22_F600_T1</t>
  </si>
  <si>
    <t>HM1613_lowdelay_P_main10_hm1613_SEIDecodedPictureHash=1_SEIDecodedPictureHash=1_SEIDecodedPictureHash=1_dummy_ClassB_S05_q0_27_F600_T1</t>
  </si>
  <si>
    <t>HM1613_lowdelay_P_main10_hm1613_SEIDecodedPictureHash=1_SEIDecodedPictureHash=1_SEIDecodedPictureHash=1_dummy_ClassB_S05_q0_32_F600_T1</t>
  </si>
  <si>
    <t>HM1613_lowdelay_P_main10_hm1613_SEIDecodedPictureHash=1_SEIDecodedPictureHash=1_SEIDecodedPictureHash=1_dummy_ClassB_S05_q0_37_F600_T1</t>
  </si>
  <si>
    <t>HM1613_lowdelay_P_main10_hm1613_SEIDecodedPictureHash=1_SEIDecodedPictureHash=1_SEIDecodedPictureHash=1_dummy_ClassC_S01_q0_22_F500_T1</t>
  </si>
  <si>
    <t>HM1613_lowdelay_P_main10_hm1613_SEIDecodedPictureHash=1_SEIDecodedPictureHash=1_SEIDecodedPictureHash=1_dummy_ClassC_S01_q0_27_F500_T1</t>
  </si>
  <si>
    <t>HM1613_lowdelay_P_main10_hm1613_SEIDecodedPictureHash=1_SEIDecodedPictureHash=1_SEIDecodedPictureHash=1_dummy_ClassC_S01_q0_32_F500_T1</t>
  </si>
  <si>
    <t>HM1613_lowdelay_P_main10_hm1613_SEIDecodedPictureHash=1_SEIDecodedPictureHash=1_SEIDecodedPictureHash=1_dummy_ClassC_S01_q0_37_F500_T1</t>
  </si>
  <si>
    <t>HM1613_lowdelay_P_main10_hm1613_SEIDecodedPictureHash=1_SEIDecodedPictureHash=1_SEIDecodedPictureHash=1_dummy_ClassC_S02_q0_22_F600_T1</t>
  </si>
  <si>
    <t>HM1613_lowdelay_P_main10_hm1613_SEIDecodedPictureHash=1_SEIDecodedPictureHash=1_SEIDecodedPictureHash=1_dummy_ClassC_S02_q0_27_F600_T1</t>
  </si>
  <si>
    <t>HM1613_lowdelay_P_main10_hm1613_SEIDecodedPictureHash=1_SEIDecodedPictureHash=1_SEIDecodedPictureHash=1_dummy_ClassC_S02_q0_32_F600_T1</t>
  </si>
  <si>
    <t>HM1613_lowdelay_P_main10_hm1613_SEIDecodedPictureHash=1_SEIDecodedPictureHash=1_SEIDecodedPictureHash=1_dummy_ClassC_S02_q0_37_F600_T1</t>
  </si>
  <si>
    <t>HM1613_lowdelay_P_main10_hm1613_SEIDecodedPictureHash=1_SEIDecodedPictureHash=1_SEIDecodedPictureHash=1_dummy_ClassC_S03_q0_22_F500_T1</t>
  </si>
  <si>
    <t>HM1613_lowdelay_P_main10_hm1613_SEIDecodedPictureHash=1_SEIDecodedPictureHash=1_SEIDecodedPictureHash=1_dummy_ClassC_S03_q0_27_F500_T1</t>
  </si>
  <si>
    <t>HM1613_lowdelay_P_main10_hm1613_SEIDecodedPictureHash=1_SEIDecodedPictureHash=1_SEIDecodedPictureHash=1_dummy_ClassC_S03_q0_32_F500_T1</t>
  </si>
  <si>
    <t>HM1613_lowdelay_P_main10_hm1613_SEIDecodedPictureHash=1_SEIDecodedPictureHash=1_SEIDecodedPictureHash=1_dummy_ClassC_S03_q0_37_F500_T1</t>
  </si>
  <si>
    <t>HM1613_lowdelay_P_main10_hm1613_SEIDecodedPictureHash=1_SEIDecodedPictureHash=1_SEIDecodedPictureHash=1_dummy_ClassC_S04_q0_22_F300_T1</t>
  </si>
  <si>
    <t>HM1613_lowdelay_P_main10_hm1613_SEIDecodedPictureHash=1_SEIDecodedPictureHash=1_SEIDecodedPictureHash=1_dummy_ClassC_S04_q0_27_F300_T1</t>
  </si>
  <si>
    <t>HM1613_lowdelay_P_main10_hm1613_SEIDecodedPictureHash=1_SEIDecodedPictureHash=1_SEIDecodedPictureHash=1_dummy_ClassC_S04_q0_32_F300_T1</t>
  </si>
  <si>
    <t>HM1613_lowdelay_P_main10_hm1613_SEIDecodedPictureHash=1_SEIDecodedPictureHash=1_SEIDecodedPictureHash=1_dummy_ClassC_S04_q0_37_F300_T1</t>
  </si>
  <si>
    <t>HM1613_lowdelay_P_main10_hm1613_SEIDecodedPictureHash=1_SEIDecodedPictureHash=1_SEIDecodedPictureHash=1_dummy_ClassD_S01_q0_22_F500_T1</t>
  </si>
  <si>
    <t>HM1613_lowdelay_P_main10_hm1613_SEIDecodedPictureHash=1_SEIDecodedPictureHash=1_SEIDecodedPictureHash=1_dummy_ClassD_S01_q0_27_F500_T1</t>
  </si>
  <si>
    <t>HM1613_lowdelay_P_main10_hm1613_SEIDecodedPictureHash=1_SEIDecodedPictureHash=1_SEIDecodedPictureHash=1_dummy_ClassD_S01_q0_32_F500_T1</t>
  </si>
  <si>
    <t>HM1613_lowdelay_P_main10_hm1613_SEIDecodedPictureHash=1_SEIDecodedPictureHash=1_SEIDecodedPictureHash=1_dummy_ClassD_S01_q0_37_F500_T1</t>
  </si>
  <si>
    <t>HM1613_lowdelay_P_main10_hm1613_SEIDecodedPictureHash=1_SEIDecodedPictureHash=1_SEIDecodedPictureHash=1_dummy_ClassD_S02_q0_22_F600_T1</t>
  </si>
  <si>
    <t>HM1613_lowdelay_P_main10_hm1613_SEIDecodedPictureHash=1_SEIDecodedPictureHash=1_SEIDecodedPictureHash=1_dummy_ClassD_S02_q0_27_F600_T1</t>
  </si>
  <si>
    <t>HM1613_lowdelay_P_main10_hm1613_SEIDecodedPictureHash=1_SEIDecodedPictureHash=1_SEIDecodedPictureHash=1_dummy_ClassD_S02_q0_32_F600_T1</t>
  </si>
  <si>
    <t>HM1613_lowdelay_P_main10_hm1613_SEIDecodedPictureHash=1_SEIDecodedPictureHash=1_SEIDecodedPictureHash=1_dummy_ClassD_S02_q0_37_F600_T1</t>
  </si>
  <si>
    <t>HM1613_lowdelay_P_main10_hm1613_SEIDecodedPictureHash=1_SEIDecodedPictureHash=1_SEIDecodedPictureHash=1_dummy_ClassD_S03_q0_22_F500_T1</t>
  </si>
  <si>
    <t>HM1613_lowdelay_P_main10_hm1613_SEIDecodedPictureHash=1_SEIDecodedPictureHash=1_SEIDecodedPictureHash=1_dummy_ClassD_S03_q0_27_F500_T1</t>
  </si>
  <si>
    <t>HM1613_lowdelay_P_main10_hm1613_SEIDecodedPictureHash=1_SEIDecodedPictureHash=1_SEIDecodedPictureHash=1_dummy_ClassD_S03_q0_32_F500_T1</t>
  </si>
  <si>
    <t>HM1613_lowdelay_P_main10_hm1613_SEIDecodedPictureHash=1_SEIDecodedPictureHash=1_SEIDecodedPictureHash=1_dummy_ClassD_S03_q0_37_F500_T1</t>
  </si>
  <si>
    <t>HM1613_lowdelay_P_main10_hm1613_SEIDecodedPictureHash=1_SEIDecodedPictureHash=1_SEIDecodedPictureHash=1_dummy_ClassD_S04_q0_22_F300_T1</t>
  </si>
  <si>
    <t>HM1613_lowdelay_P_main10_hm1613_SEIDecodedPictureHash=1_SEIDecodedPictureHash=1_SEIDecodedPictureHash=1_dummy_ClassD_S04_q0_27_F300_T1</t>
  </si>
  <si>
    <t>HM1613_lowdelay_P_main10_hm1613_SEIDecodedPictureHash=1_SEIDecodedPictureHash=1_SEIDecodedPictureHash=1_dummy_ClassD_S04_q0_32_F300_T1</t>
  </si>
  <si>
    <t>HM1613_lowdelay_P_main10_hm1613_SEIDecodedPictureHash=1_SEIDecodedPictureHash=1_SEIDecodedPictureHash=1_dummy_ClassD_S04_q0_37_F300_T1</t>
  </si>
  <si>
    <t>HM1613_lowdelay_P_main10_hm1613_SEIDecodedPictureHash=1_SEIDecodedPictureHash=1_SEIDecodedPictureHash=1_dummy_ClassE_S01_q0_22_F600_T1</t>
  </si>
  <si>
    <t>HM1613_lowdelay_P_main10_hm1613_SEIDecodedPictureHash=1_SEIDecodedPictureHash=1_SEIDecodedPictureHash=1_dummy_ClassE_S01_q0_27_F600_T1</t>
  </si>
  <si>
    <t>HM1613_lowdelay_P_main10_hm1613_SEIDecodedPictureHash=1_SEIDecodedPictureHash=1_SEIDecodedPictureHash=1_dummy_ClassE_S01_q0_32_F600_T1</t>
  </si>
  <si>
    <t>HM1613_lowdelay_P_main10_hm1613_SEIDecodedPictureHash=1_SEIDecodedPictureHash=1_SEIDecodedPictureHash=1_dummy_ClassE_S01_q0_37_F600_T1</t>
  </si>
  <si>
    <t>HM1613_lowdelay_P_main10_hm1613_SEIDecodedPictureHash=1_SEIDecodedPictureHash=1_SEIDecodedPictureHash=1_dummy_ClassE_S02_q0_22_F600_T1</t>
  </si>
  <si>
    <t>HM1613_lowdelay_P_main10_hm1613_SEIDecodedPictureHash=1_SEIDecodedPictureHash=1_SEIDecodedPictureHash=1_dummy_ClassE_S02_q0_27_F600_T1</t>
  </si>
  <si>
    <t>HM1613_lowdelay_P_main10_hm1613_SEIDecodedPictureHash=1_SEIDecodedPictureHash=1_SEIDecodedPictureHash=1_dummy_ClassE_S02_q0_32_F600_T1</t>
  </si>
  <si>
    <t>HM1613_lowdelay_P_main10_hm1613_SEIDecodedPictureHash=1_SEIDecodedPictureHash=1_SEIDecodedPictureHash=1_dummy_ClassE_S02_q0_37_F600_T1</t>
  </si>
  <si>
    <t>HM1613_lowdelay_P_main10_hm1613_SEIDecodedPictureHash=1_SEIDecodedPictureHash=1_SEIDecodedPictureHash=1_dummy_ClassE_S03_q0_22_F600_T1</t>
  </si>
  <si>
    <t>HM1613_lowdelay_P_main10_hm1613_SEIDecodedPictureHash=1_SEIDecodedPictureHash=1_SEIDecodedPictureHash=1_dummy_ClassE_S03_q0_27_F600_T1</t>
  </si>
  <si>
    <t>HM1613_lowdelay_P_main10_hm1613_SEIDecodedPictureHash=1_SEIDecodedPictureHash=1_SEIDecodedPictureHash=1_dummy_ClassE_S03_q0_32_F600_T1</t>
  </si>
  <si>
    <t>HM1613_lowdelay_P_main10_hm1613_SEIDecodedPictureHash=1_SEIDecodedPictureHash=1_SEIDecodedPictureHash=1_dummy_ClassE_S03_q0_37_F600_T1</t>
  </si>
  <si>
    <t>HM1613_lowdelay_P_main10_hm1613_SEIDecodedPictureHash=1_SEIDecodedPictureHash=1_SEIDecodedPictureHash=1_dummy_ClassF_S01_q0_22_F500_T1</t>
  </si>
  <si>
    <t>HM1613_lowdelay_P_main10_hm1613_SEIDecodedPictureHash=1_SEIDecodedPictureHash=1_SEIDecodedPictureHash=1_dummy_ClassF_S01_q0_27_F500_T1</t>
  </si>
  <si>
    <t>HM1613_lowdelay_P_main10_hm1613_SEIDecodedPictureHash=1_SEIDecodedPictureHash=1_SEIDecodedPictureHash=1_dummy_ClassF_S01_q0_32_F500_T1</t>
  </si>
  <si>
    <t>HM1613_lowdelay_P_main10_hm1613_SEIDecodedPictureHash=1_SEIDecodedPictureHash=1_SEIDecodedPictureHash=1_dummy_ClassF_S01_q0_37_F500_T1</t>
  </si>
  <si>
    <t>HM1613_lowdelay_P_main10_hm1613_SEIDecodedPictureHash=1_SEIDecodedPictureHash=1_SEIDecodedPictureHash=1_dummy_ClassF_S02_q0_22_F500_T1</t>
  </si>
  <si>
    <t>HM1613_lowdelay_P_main10_hm1613_SEIDecodedPictureHash=1_SEIDecodedPictureHash=1_SEIDecodedPictureHash=1_dummy_ClassF_S02_q0_27_F500_T1</t>
  </si>
  <si>
    <t>HM1613_lowdelay_P_main10_hm1613_SEIDecodedPictureHash=1_SEIDecodedPictureHash=1_SEIDecodedPictureHash=1_dummy_ClassF_S02_q0_32_F500_T1</t>
  </si>
  <si>
    <t>HM1613_lowdelay_P_main10_hm1613_SEIDecodedPictureHash=1_SEIDecodedPictureHash=1_SEIDecodedPictureHash=1_dummy_ClassF_S02_q0_37_F500_T1</t>
  </si>
  <si>
    <t>HM1613_lowdelay_P_main10_hm1613_SEIDecodedPictureHash=1_SEIDecodedPictureHash=1_SEIDecodedPictureHash=1_dummy_ClassF_S03_q0_22_F300_T1</t>
  </si>
  <si>
    <t>HM1613_lowdelay_P_main10_hm1613_SEIDecodedPictureHash=1_SEIDecodedPictureHash=1_SEIDecodedPictureHash=1_dummy_ClassF_S03_q0_27_F300_T1</t>
  </si>
  <si>
    <t>HM1613_lowdelay_P_main10_hm1613_SEIDecodedPictureHash=1_SEIDecodedPictureHash=1_SEIDecodedPictureHash=1_dummy_ClassF_S03_q0_32_F300_T1</t>
  </si>
  <si>
    <t>HM1613_lowdelay_P_main10_hm1613_SEIDecodedPictureHash=1_SEIDecodedPictureHash=1_SEIDecodedPictureHash=1_dummy_ClassF_S03_q0_37_F300_T1</t>
  </si>
  <si>
    <t>HM1613_lowdelay_P_main10_hm1613_SEIDecodedPictureHash=1_SEIDecodedPictureHash=1_SEIDecodedPictureHash=1_dummy_ClassF_S04_q0_22_F500_T1</t>
  </si>
  <si>
    <t>HM1613_lowdelay_P_main10_hm1613_SEIDecodedPictureHash=1_SEIDecodedPictureHash=1_SEIDecodedPictureHash=1_dummy_ClassF_S04_q0_27_F500_T1</t>
  </si>
  <si>
    <t>HM1613_lowdelay_P_main10_hm1613_SEIDecodedPictureHash=1_SEIDecodedPictureHash=1_SEIDecodedPictureHash=1_dummy_ClassF_S04_q0_32_F500_T1</t>
  </si>
  <si>
    <t>HM1613_lowdelay_P_main10_hm1613_SEIDecodedPictureHash=1_SEIDecodedPictureHash=1_SEIDecodedPictureHash=1_dummy_ClassF_S04_q0_37_F500_T1</t>
  </si>
  <si>
    <t>HM-16.13-RA-SearchRange=256</t>
  </si>
  <si>
    <t xml:space="preserve"> </t>
  </si>
  <si>
    <t xml:space="preserve">decoding not finished </t>
  </si>
  <si>
    <t>HM-16.6-JEM-4.0(Tool off) (parallel)</t>
    <phoneticPr fontId="1" type="noConversion"/>
  </si>
  <si>
    <t>Tool off: EMT/NSST/RSAF/PDPC/FRUC/BIO/OBMC/illuCompEnable/AFFINE/ATMVP/IMV</t>
    <phoneticPr fontId="1" type="noConversion"/>
  </si>
  <si>
    <t>HM-16.6-JEM-4.0-DMVR(without half ME and Tool off) (parallel)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</si>
</sst>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%"/>
    <numFmt numFmtId="178" formatCode="0.0"/>
    <numFmt numFmtId="179" formatCode="0.00000%"/>
  </numFmts>
  <fonts count="7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12" xfId="0" applyFont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2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9" fontId="2" fillId="0" borderId="14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176" fontId="0" fillId="0" borderId="0" xfId="0" applyNumberFormat="1"/>
    <xf numFmtId="9" fontId="2" fillId="0" borderId="0" xfId="0" applyNumberFormat="1" applyFont="1" applyBorder="1" applyAlignment="1">
      <alignment horizontal="center" vertical="center"/>
    </xf>
    <xf numFmtId="9" fontId="2" fillId="0" borderId="4" xfId="0" applyNumberFormat="1" applyFont="1" applyBorder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61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931"/>
          <c:y val="3.14136433880344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338794950852373E-2"/>
          <c:y val="0.11518328288078362"/>
          <c:w val="0.87437963602085211"/>
          <c:h val="0.76439815002701861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50.155994666666601</c:v>
                </c:pt>
                <c:pt idx="1">
                  <c:v>46.099287333333301</c:v>
                </c:pt>
                <c:pt idx="2">
                  <c:v>41.552923</c:v>
                </c:pt>
                <c:pt idx="3">
                  <c:v>36.834349666666597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7409920"/>
        <c:axId val="167416576"/>
      </c:scatterChart>
      <c:valAx>
        <c:axId val="1674099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9"/>
              <c:y val="0.929319498614076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416576"/>
        <c:crosses val="autoZero"/>
        <c:crossBetween val="midCat"/>
      </c:valAx>
      <c:valAx>
        <c:axId val="167416576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5987E-2"/>
              <c:y val="0.4214661858856448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40992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71"/>
          <c:y val="0.80000078494861038"/>
          <c:w val="0.16465869544084766"/>
          <c:h val="9.696901905953349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44" r="0.75000000000000144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86"/>
          <c:y val="3.1331642203942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470262920263823E-2"/>
          <c:y val="0.1174935849280313"/>
          <c:w val="0.87417289212290161"/>
          <c:h val="0.7624028177552236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48.012406999999897</c:v>
                </c:pt>
                <c:pt idx="1">
                  <c:v>43.775575666666597</c:v>
                </c:pt>
                <c:pt idx="2">
                  <c:v>40.778382333333298</c:v>
                </c:pt>
                <c:pt idx="3">
                  <c:v>38.976370666666597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7881728"/>
        <c:axId val="167892096"/>
      </c:scatterChart>
      <c:valAx>
        <c:axId val="167881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44"/>
              <c:y val="0.929504733695997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892096"/>
        <c:crosses val="autoZero"/>
        <c:crossBetween val="midCat"/>
      </c:valAx>
      <c:valAx>
        <c:axId val="167892096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5E-2"/>
              <c:y val="0.4203658900179384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88172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944"/>
          <c:y val="0.79143526053656699"/>
          <c:w val="0.1648622290569674"/>
          <c:h val="9.6607868150560036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44" r="0.75000000000000144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3"/>
          <c:y val="3.133153131977914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748415307791233E-2"/>
          <c:y val="0.1174935849280313"/>
          <c:w val="0.86589473973537545"/>
          <c:h val="0.76501378630918149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47.963107000000001</c:v>
                </c:pt>
                <c:pt idx="1">
                  <c:v>44.190417666666598</c:v>
                </c:pt>
                <c:pt idx="2">
                  <c:v>41.667815999999902</c:v>
                </c:pt>
                <c:pt idx="3">
                  <c:v>40.078530999999998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7899904"/>
        <c:axId val="163574528"/>
      </c:scatterChart>
      <c:valAx>
        <c:axId val="167899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888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3574528"/>
        <c:crosses val="autoZero"/>
        <c:crossBetween val="midCat"/>
      </c:valAx>
      <c:valAx>
        <c:axId val="163574528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8051E-2"/>
              <c:y val="0.422976848043249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789990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901"/>
          <c:y val="0.80223880597014929"/>
          <c:w val="0.1648622290569674"/>
          <c:h val="9.678810671054181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44" r="0.75000000000000144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87"/>
          <c:y val="3.133153131977914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0858069520842304E-2"/>
          <c:y val="0.11488261637407457"/>
          <c:w val="0.85478530636318906"/>
          <c:h val="0.76501378630918149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50.155994666666601</c:v>
                </c:pt>
                <c:pt idx="1">
                  <c:v>46.099287333333301</c:v>
                </c:pt>
                <c:pt idx="2">
                  <c:v>41.552923</c:v>
                </c:pt>
                <c:pt idx="3">
                  <c:v>36.834349666666597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HM-16.6-JEM-4.0-DMVR(without 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68028416"/>
        <c:axId val="168038784"/>
      </c:scatterChart>
      <c:valAx>
        <c:axId val="168028416"/>
        <c:scaling>
          <c:logBase val="10"/>
          <c:orientation val="minMax"/>
          <c:max val="10000"/>
          <c:min val="100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76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8038784"/>
        <c:crosses val="autoZero"/>
        <c:crossBetween val="midCat"/>
      </c:valAx>
      <c:valAx>
        <c:axId val="168038784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29E-2"/>
              <c:y val="0.422976848043249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6802841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694"/>
          <c:y val="0.79477611940298509"/>
          <c:w val="0.16445566375719711"/>
          <c:h val="9.67881067105416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44" r="0.75000000000000144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1:W48"/>
  <sheetViews>
    <sheetView zoomScaleNormal="100" workbookViewId="0">
      <selection activeCell="O9" sqref="O9"/>
    </sheetView>
  </sheetViews>
  <sheetFormatPr defaultColWidth="10.875" defaultRowHeight="12"/>
  <cols>
    <col min="1" max="1" width="4.125" style="1" customWidth="1"/>
    <col min="2" max="2" width="13.625" style="83" customWidth="1"/>
    <col min="3" max="12" width="8.875" style="83" customWidth="1"/>
    <col min="13" max="14" width="10.875" style="1"/>
    <col min="15" max="15" width="39" style="1" customWidth="1"/>
    <col min="16" max="16384" width="10.875" style="1"/>
  </cols>
  <sheetData>
    <row r="1" spans="2:23" ht="12.75" thickBot="1"/>
    <row r="2" spans="2:23" ht="12.75" customHeight="1" thickBot="1">
      <c r="C2" s="113" t="s">
        <v>71</v>
      </c>
      <c r="D2" s="114"/>
      <c r="E2" s="114"/>
      <c r="F2" s="114"/>
      <c r="G2" s="114"/>
      <c r="H2" s="114"/>
      <c r="I2" s="114"/>
      <c r="J2" s="114"/>
      <c r="K2" s="114"/>
      <c r="L2" s="115"/>
      <c r="N2" s="29"/>
      <c r="O2" s="29" t="s">
        <v>1441</v>
      </c>
    </row>
    <row r="3" spans="2:23" ht="12.75" customHeight="1">
      <c r="C3" s="113" t="str">
        <f>CONCATENATE("Over ", $O$3)</f>
        <v>Over HM-16.6-JEM-4.0(Tool off) (parallel)</v>
      </c>
      <c r="D3" s="114"/>
      <c r="E3" s="114"/>
      <c r="F3" s="114"/>
      <c r="G3" s="115"/>
      <c r="H3" s="113" t="str">
        <f>CONCATENATE("Over ", $O$5)</f>
        <v>Over HM-16.13-RA-SearchRange=256</v>
      </c>
      <c r="I3" s="114"/>
      <c r="J3" s="114"/>
      <c r="K3" s="114"/>
      <c r="L3" s="115"/>
      <c r="N3" s="29" t="s">
        <v>29</v>
      </c>
      <c r="O3" s="29" t="s">
        <v>1440</v>
      </c>
    </row>
    <row r="4" spans="2:23" ht="12.75" customHeight="1" thickBot="1">
      <c r="C4" s="63" t="s">
        <v>23</v>
      </c>
      <c r="D4" s="64" t="s">
        <v>24</v>
      </c>
      <c r="E4" s="65" t="s">
        <v>25</v>
      </c>
      <c r="F4" s="66" t="s">
        <v>45</v>
      </c>
      <c r="G4" s="67" t="s">
        <v>46</v>
      </c>
      <c r="H4" s="63" t="s">
        <v>23</v>
      </c>
      <c r="I4" s="64" t="s">
        <v>24</v>
      </c>
      <c r="J4" s="65" t="s">
        <v>25</v>
      </c>
      <c r="K4" s="66" t="s">
        <v>45</v>
      </c>
      <c r="L4" s="67" t="s">
        <v>46</v>
      </c>
      <c r="N4" s="29" t="s">
        <v>30</v>
      </c>
      <c r="O4" s="29" t="s">
        <v>1442</v>
      </c>
    </row>
    <row r="5" spans="2:23" ht="12.75" customHeight="1">
      <c r="B5" s="84" t="s">
        <v>76</v>
      </c>
      <c r="C5" s="68" t="e">
        <f>#REF!</f>
        <v>#REF!</v>
      </c>
      <c r="D5" s="69" t="e">
        <f>#REF!</f>
        <v>#REF!</v>
      </c>
      <c r="E5" s="70" t="e">
        <f>#REF!</f>
        <v>#REF!</v>
      </c>
      <c r="F5" s="71" t="e">
        <f>#REF!</f>
        <v>#REF!</v>
      </c>
      <c r="G5" s="89" t="e">
        <f>#REF!</f>
        <v>#REF!</v>
      </c>
      <c r="H5" s="68" t="e">
        <f>#REF!</f>
        <v>#REF!</v>
      </c>
      <c r="I5" s="69" t="e">
        <f>#REF!</f>
        <v>#REF!</v>
      </c>
      <c r="J5" s="70" t="e">
        <f>#REF!</f>
        <v>#REF!</v>
      </c>
      <c r="K5" s="71" t="e">
        <f>#REF!</f>
        <v>#REF!</v>
      </c>
      <c r="L5" s="72" t="e">
        <f>#REF!</f>
        <v>#REF!</v>
      </c>
      <c r="M5" s="26"/>
      <c r="N5" s="1" t="s">
        <v>38</v>
      </c>
      <c r="O5" s="29" t="s">
        <v>1437</v>
      </c>
    </row>
    <row r="6" spans="2:23" ht="12.75" customHeight="1">
      <c r="B6" s="85" t="s">
        <v>77</v>
      </c>
      <c r="C6" s="73" t="e">
        <f>#REF!</f>
        <v>#REF!</v>
      </c>
      <c r="D6" s="74" t="e">
        <f>#REF!</f>
        <v>#REF!</v>
      </c>
      <c r="E6" s="75" t="e">
        <f>#REF!</f>
        <v>#REF!</v>
      </c>
      <c r="F6" s="76" t="e">
        <f>#REF!</f>
        <v>#REF!</v>
      </c>
      <c r="G6" s="88" t="e">
        <f>#REF!</f>
        <v>#REF!</v>
      </c>
      <c r="H6" s="73" t="e">
        <f>#REF!</f>
        <v>#REF!</v>
      </c>
      <c r="I6" s="74" t="e">
        <f>#REF!</f>
        <v>#REF!</v>
      </c>
      <c r="J6" s="75" t="e">
        <f>#REF!</f>
        <v>#REF!</v>
      </c>
      <c r="K6" s="76" t="e">
        <f>#REF!</f>
        <v>#REF!</v>
      </c>
      <c r="L6" s="77" t="e">
        <f>#REF!</f>
        <v>#REF!</v>
      </c>
      <c r="M6" s="26"/>
      <c r="O6" s="29"/>
    </row>
    <row r="7" spans="2:23" ht="12.75" customHeight="1">
      <c r="B7" s="85" t="s">
        <v>1</v>
      </c>
      <c r="C7" s="73" t="e">
        <f>#REF!</f>
        <v>#REF!</v>
      </c>
      <c r="D7" s="74" t="e">
        <f>#REF!</f>
        <v>#REF!</v>
      </c>
      <c r="E7" s="75" t="e">
        <f>#REF!</f>
        <v>#REF!</v>
      </c>
      <c r="F7" s="76" t="e">
        <f>#REF!</f>
        <v>#REF!</v>
      </c>
      <c r="G7" s="88" t="e">
        <f>#REF!</f>
        <v>#REF!</v>
      </c>
      <c r="H7" s="73" t="e">
        <f>#REF!</f>
        <v>#REF!</v>
      </c>
      <c r="I7" s="74" t="e">
        <f>#REF!</f>
        <v>#REF!</v>
      </c>
      <c r="J7" s="75" t="e">
        <f>#REF!</f>
        <v>#REF!</v>
      </c>
      <c r="K7" s="76" t="e">
        <f>#REF!</f>
        <v>#REF!</v>
      </c>
      <c r="L7" s="77" t="e">
        <f>#REF!</f>
        <v>#REF!</v>
      </c>
      <c r="M7" s="26"/>
    </row>
    <row r="8" spans="2:23" ht="12.75" customHeight="1">
      <c r="B8" s="85" t="s">
        <v>7</v>
      </c>
      <c r="C8" s="73" t="e">
        <f>#REF!</f>
        <v>#REF!</v>
      </c>
      <c r="D8" s="74" t="e">
        <f>#REF!</f>
        <v>#REF!</v>
      </c>
      <c r="E8" s="75" t="e">
        <f>#REF!</f>
        <v>#REF!</v>
      </c>
      <c r="F8" s="76" t="e">
        <f>#REF!</f>
        <v>#REF!</v>
      </c>
      <c r="G8" s="88" t="e">
        <f>#REF!</f>
        <v>#REF!</v>
      </c>
      <c r="H8" s="73" t="e">
        <f>#REF!</f>
        <v>#REF!</v>
      </c>
      <c r="I8" s="74" t="e">
        <f>#REF!</f>
        <v>#REF!</v>
      </c>
      <c r="J8" s="75" t="e">
        <f>#REF!</f>
        <v>#REF!</v>
      </c>
      <c r="K8" s="76" t="e">
        <f>#REF!</f>
        <v>#REF!</v>
      </c>
      <c r="L8" s="77" t="e">
        <f>#REF!</f>
        <v>#REF!</v>
      </c>
      <c r="M8" s="26"/>
    </row>
    <row r="9" spans="2:23" ht="12.75" customHeight="1">
      <c r="B9" s="85" t="s">
        <v>8</v>
      </c>
      <c r="C9" s="73" t="e">
        <f>#REF!</f>
        <v>#REF!</v>
      </c>
      <c r="D9" s="74" t="e">
        <f>#REF!</f>
        <v>#REF!</v>
      </c>
      <c r="E9" s="75" t="e">
        <f>#REF!</f>
        <v>#REF!</v>
      </c>
      <c r="F9" s="76" t="e">
        <f>#REF!</f>
        <v>#REF!</v>
      </c>
      <c r="G9" s="88" t="e">
        <f>#REF!</f>
        <v>#REF!</v>
      </c>
      <c r="H9" s="73" t="e">
        <f>#REF!</f>
        <v>#REF!</v>
      </c>
      <c r="I9" s="74" t="e">
        <f>#REF!</f>
        <v>#REF!</v>
      </c>
      <c r="J9" s="75" t="e">
        <f>#REF!</f>
        <v>#REF!</v>
      </c>
      <c r="K9" s="76" t="e">
        <f>#REF!</f>
        <v>#REF!</v>
      </c>
      <c r="L9" s="77" t="e">
        <f>#REF!</f>
        <v>#REF!</v>
      </c>
      <c r="M9" s="26"/>
    </row>
    <row r="10" spans="2:23" ht="12.75" customHeight="1" thickBot="1">
      <c r="B10" s="85" t="s">
        <v>9</v>
      </c>
      <c r="C10" s="73" t="e">
        <f>#REF!</f>
        <v>#REF!</v>
      </c>
      <c r="D10" s="74" t="e">
        <f>#REF!</f>
        <v>#REF!</v>
      </c>
      <c r="E10" s="75" t="e">
        <f>#REF!</f>
        <v>#REF!</v>
      </c>
      <c r="F10" s="76" t="e">
        <f>#REF!</f>
        <v>#REF!</v>
      </c>
      <c r="G10" s="88" t="e">
        <f>#REF!</f>
        <v>#REF!</v>
      </c>
      <c r="H10" s="73" t="e">
        <f>#REF!</f>
        <v>#REF!</v>
      </c>
      <c r="I10" s="74" t="e">
        <f>#REF!</f>
        <v>#REF!</v>
      </c>
      <c r="J10" s="75" t="e">
        <f>#REF!</f>
        <v>#REF!</v>
      </c>
      <c r="K10" s="76" t="e">
        <f>#REF!</f>
        <v>#REF!</v>
      </c>
      <c r="L10" s="77" t="e">
        <f>#REF!</f>
        <v>#REF!</v>
      </c>
      <c r="M10" s="26"/>
    </row>
    <row r="11" spans="2:23" s="20" customFormat="1" ht="12.75" customHeight="1" thickBot="1">
      <c r="B11" s="86" t="s">
        <v>72</v>
      </c>
      <c r="C11" s="78" t="e">
        <f>#REF!</f>
        <v>#REF!</v>
      </c>
      <c r="D11" s="79" t="e">
        <f>#REF!</f>
        <v>#REF!</v>
      </c>
      <c r="E11" s="80" t="e">
        <f>#REF!</f>
        <v>#REF!</v>
      </c>
      <c r="F11" s="81" t="e">
        <f>#REF!</f>
        <v>#REF!</v>
      </c>
      <c r="G11" s="90" t="e">
        <f>#REF!</f>
        <v>#REF!</v>
      </c>
      <c r="H11" s="78" t="e">
        <f>#REF!</f>
        <v>#REF!</v>
      </c>
      <c r="I11" s="79" t="e">
        <f>#REF!</f>
        <v>#REF!</v>
      </c>
      <c r="J11" s="80" t="e">
        <f>#REF!</f>
        <v>#REF!</v>
      </c>
      <c r="K11" s="81" t="e">
        <f>#REF!</f>
        <v>#REF!</v>
      </c>
      <c r="L11" s="82" t="e">
        <f>#REF!</f>
        <v>#REF!</v>
      </c>
      <c r="M11" s="26"/>
      <c r="N11" s="39" t="s">
        <v>28</v>
      </c>
    </row>
    <row r="12" spans="2:23" ht="12.75" customHeight="1" thickBot="1">
      <c r="B12" s="91" t="s">
        <v>75</v>
      </c>
      <c r="C12" s="78" t="e">
        <f>#REF!</f>
        <v>#REF!</v>
      </c>
      <c r="D12" s="79" t="e">
        <f>#REF!</f>
        <v>#REF!</v>
      </c>
      <c r="E12" s="80" t="e">
        <f>#REF!</f>
        <v>#REF!</v>
      </c>
      <c r="F12" s="81" t="e">
        <f>#REF!</f>
        <v>#REF!</v>
      </c>
      <c r="G12" s="90" t="e">
        <f>#REF!</f>
        <v>#REF!</v>
      </c>
      <c r="H12" s="78" t="e">
        <f>#REF!</f>
        <v>#REF!</v>
      </c>
      <c r="I12" s="79" t="e">
        <f>#REF!</f>
        <v>#REF!</v>
      </c>
      <c r="J12" s="80" t="e">
        <f>#REF!</f>
        <v>#REF!</v>
      </c>
      <c r="K12" s="81" t="e">
        <f>#REF!</f>
        <v>#REF!</v>
      </c>
      <c r="L12" s="82" t="e">
        <f>#REF!</f>
        <v>#REF!</v>
      </c>
      <c r="M12" s="26"/>
    </row>
    <row r="13" spans="2:23" ht="12.75" customHeight="1" thickBot="1"/>
    <row r="14" spans="2:23" ht="12.75" customHeight="1" thickBot="1">
      <c r="C14" s="113" t="s">
        <v>50</v>
      </c>
      <c r="D14" s="114"/>
      <c r="E14" s="114"/>
      <c r="F14" s="114"/>
      <c r="G14" s="114"/>
      <c r="H14" s="114"/>
      <c r="I14" s="114"/>
      <c r="J14" s="114"/>
      <c r="K14" s="114"/>
      <c r="L14" s="115"/>
      <c r="N14" s="29"/>
      <c r="O14" s="29"/>
    </row>
    <row r="15" spans="2:23" ht="12.75" customHeight="1">
      <c r="C15" s="113" t="str">
        <f>CONCATENATE("Over ", $O$3)</f>
        <v>Over HM-16.6-JEM-4.0(Tool off) (parallel)</v>
      </c>
      <c r="D15" s="114"/>
      <c r="E15" s="114"/>
      <c r="F15" s="114"/>
      <c r="G15" s="115"/>
      <c r="H15" s="113" t="str">
        <f>CONCATENATE("Over ", $O$5)</f>
        <v>Over HM-16.13-RA-SearchRange=256</v>
      </c>
      <c r="I15" s="114"/>
      <c r="J15" s="114"/>
      <c r="K15" s="114"/>
      <c r="L15" s="115"/>
    </row>
    <row r="16" spans="2:23" ht="12.75" customHeight="1" thickBot="1">
      <c r="C16" s="63" t="s">
        <v>23</v>
      </c>
      <c r="D16" s="64" t="s">
        <v>24</v>
      </c>
      <c r="E16" s="65" t="s">
        <v>25</v>
      </c>
      <c r="F16" s="66" t="s">
        <v>45</v>
      </c>
      <c r="G16" s="67" t="s">
        <v>46</v>
      </c>
      <c r="H16" s="63" t="s">
        <v>23</v>
      </c>
      <c r="I16" s="64" t="s">
        <v>24</v>
      </c>
      <c r="J16" s="65" t="s">
        <v>25</v>
      </c>
      <c r="K16" s="66" t="s">
        <v>45</v>
      </c>
      <c r="L16" s="67" t="s">
        <v>46</v>
      </c>
      <c r="O16" s="41"/>
      <c r="P16" s="41"/>
      <c r="Q16" s="41"/>
      <c r="R16" s="41"/>
      <c r="S16" s="41"/>
      <c r="T16" s="41"/>
      <c r="U16" s="41"/>
      <c r="V16" s="41"/>
      <c r="W16" s="41"/>
    </row>
    <row r="17" spans="2:23" ht="12.75" customHeight="1">
      <c r="B17" s="84" t="str">
        <f>B5</f>
        <v>Class A1</v>
      </c>
      <c r="C17" s="68" t="e">
        <f ca="1">'RA-10'!V115</f>
        <v>#NAME?</v>
      </c>
      <c r="D17" s="69" t="e">
        <f ca="1">'RA-10'!W115</f>
        <v>#NAME?</v>
      </c>
      <c r="E17" s="70" t="e">
        <f ca="1">'RA-10'!X115</f>
        <v>#NAME?</v>
      </c>
      <c r="F17" s="71" t="e">
        <f>'RA-10'!S115</f>
        <v>#DIV/0!</v>
      </c>
      <c r="G17" s="89" t="e">
        <f>'RA-10'!T115</f>
        <v>#DIV/0!</v>
      </c>
      <c r="H17" s="68" t="e">
        <f ca="1">'RA-10'!AM115</f>
        <v>#NAME?</v>
      </c>
      <c r="I17" s="69" t="e">
        <f ca="1">'RA-10'!AN115</f>
        <v>#NAME?</v>
      </c>
      <c r="J17" s="70" t="e">
        <f ca="1">'RA-10'!AO115</f>
        <v>#NAME?</v>
      </c>
      <c r="K17" s="71" t="e">
        <f>'RA-10'!AJ115</f>
        <v>#DIV/0!</v>
      </c>
      <c r="L17" s="72" t="e">
        <f>'RA-10'!AK115</f>
        <v>#DIV/0!</v>
      </c>
      <c r="M17" s="26"/>
      <c r="O17" s="41"/>
      <c r="P17" s="41"/>
      <c r="Q17" s="41"/>
      <c r="R17" s="41"/>
      <c r="S17" s="41"/>
      <c r="T17" s="41"/>
      <c r="U17" s="41"/>
      <c r="V17" s="41"/>
      <c r="W17" s="41"/>
    </row>
    <row r="18" spans="2:23" ht="12.75" customHeight="1">
      <c r="B18" s="85" t="str">
        <f>B6</f>
        <v>Class A2</v>
      </c>
      <c r="C18" s="73" t="e">
        <f ca="1">'RA-10'!V116</f>
        <v>#NAME?</v>
      </c>
      <c r="D18" s="74" t="e">
        <f ca="1">'RA-10'!W116</f>
        <v>#NAME?</v>
      </c>
      <c r="E18" s="75" t="e">
        <f ca="1">'RA-10'!X116</f>
        <v>#NAME?</v>
      </c>
      <c r="F18" s="76" t="e">
        <f>'RA-10'!S116</f>
        <v>#NUM!</v>
      </c>
      <c r="G18" s="88" t="e">
        <f>'RA-10'!T116</f>
        <v>#NUM!</v>
      </c>
      <c r="H18" s="73" t="e">
        <f ca="1">'RA-10'!AM116</f>
        <v>#NAME?</v>
      </c>
      <c r="I18" s="74" t="e">
        <f ca="1">'RA-10'!AN116</f>
        <v>#NAME?</v>
      </c>
      <c r="J18" s="75" t="e">
        <f ca="1">'RA-10'!AO116</f>
        <v>#NAME?</v>
      </c>
      <c r="K18" s="76" t="e">
        <f>'RA-10'!AJ116</f>
        <v>#DIV/0!</v>
      </c>
      <c r="L18" s="77" t="e">
        <f>'RA-10'!AK116</f>
        <v>#DIV/0!</v>
      </c>
      <c r="M18" s="26"/>
      <c r="O18" s="41"/>
      <c r="P18" s="41"/>
      <c r="Q18" s="41"/>
      <c r="R18" s="41"/>
      <c r="S18" s="41"/>
      <c r="T18" s="41"/>
      <c r="U18" s="41"/>
      <c r="V18" s="41"/>
      <c r="W18" s="41"/>
    </row>
    <row r="19" spans="2:23" ht="12.75" customHeight="1">
      <c r="B19" s="85" t="str">
        <f t="shared" ref="B19:B22" si="0">B7</f>
        <v>Class B</v>
      </c>
      <c r="C19" s="73" t="e">
        <f ca="1">'RA-10'!V117</f>
        <v>#NAME?</v>
      </c>
      <c r="D19" s="74" t="e">
        <f ca="1">'RA-10'!W117</f>
        <v>#NAME?</v>
      </c>
      <c r="E19" s="75" t="e">
        <f ca="1">'RA-10'!X117</f>
        <v>#NAME?</v>
      </c>
      <c r="F19" s="76" t="e">
        <f>'RA-10'!S117</f>
        <v>#NUM!</v>
      </c>
      <c r="G19" s="88" t="e">
        <f>'RA-10'!T117</f>
        <v>#NUM!</v>
      </c>
      <c r="H19" s="73" t="e">
        <f ca="1">'RA-10'!AM117</f>
        <v>#NAME?</v>
      </c>
      <c r="I19" s="74" t="e">
        <f ca="1">'RA-10'!AN117</f>
        <v>#NAME?</v>
      </c>
      <c r="J19" s="75" t="e">
        <f ca="1">'RA-10'!AO117</f>
        <v>#NAME?</v>
      </c>
      <c r="K19" s="76" t="e">
        <f>'RA-10'!AJ117</f>
        <v>#DIV/0!</v>
      </c>
      <c r="L19" s="77" t="e">
        <f>'RA-10'!AK117</f>
        <v>#DIV/0!</v>
      </c>
      <c r="M19" s="26"/>
    </row>
    <row r="20" spans="2:23" ht="12.75" customHeight="1">
      <c r="B20" s="85" t="str">
        <f t="shared" si="0"/>
        <v>Class C</v>
      </c>
      <c r="C20" s="73" t="e">
        <f ca="1">'RA-10'!V118</f>
        <v>#NAME?</v>
      </c>
      <c r="D20" s="74" t="e">
        <f ca="1">'RA-10'!W118</f>
        <v>#NAME?</v>
      </c>
      <c r="E20" s="75" t="e">
        <f ca="1">'RA-10'!X118</f>
        <v>#NAME?</v>
      </c>
      <c r="F20" s="76" t="e">
        <f>'RA-10'!S118</f>
        <v>#NUM!</v>
      </c>
      <c r="G20" s="88" t="e">
        <f>'RA-10'!T118</f>
        <v>#NUM!</v>
      </c>
      <c r="H20" s="73" t="e">
        <f ca="1">'RA-10'!AM118</f>
        <v>#NAME?</v>
      </c>
      <c r="I20" s="74" t="e">
        <f ca="1">'RA-10'!AN118</f>
        <v>#NAME?</v>
      </c>
      <c r="J20" s="75" t="e">
        <f ca="1">'RA-10'!AO118</f>
        <v>#NAME?</v>
      </c>
      <c r="K20" s="76" t="e">
        <f>'RA-10'!AJ118</f>
        <v>#DIV/0!</v>
      </c>
      <c r="L20" s="77" t="e">
        <f>'RA-10'!AK118</f>
        <v>#DIV/0!</v>
      </c>
      <c r="M20" s="26"/>
    </row>
    <row r="21" spans="2:23" ht="12.75" customHeight="1">
      <c r="B21" s="85" t="str">
        <f t="shared" si="0"/>
        <v>Class D</v>
      </c>
      <c r="C21" s="73" t="e">
        <f ca="1">'RA-10'!V119</f>
        <v>#NAME?</v>
      </c>
      <c r="D21" s="74" t="e">
        <f ca="1">'RA-10'!W119</f>
        <v>#NAME?</v>
      </c>
      <c r="E21" s="75" t="e">
        <f ca="1">'RA-10'!X119</f>
        <v>#NAME?</v>
      </c>
      <c r="F21" s="76" t="e">
        <f>'RA-10'!S119</f>
        <v>#NUM!</v>
      </c>
      <c r="G21" s="88" t="e">
        <f>'RA-10'!T119</f>
        <v>#NUM!</v>
      </c>
      <c r="H21" s="73" t="e">
        <f ca="1">'RA-10'!AM119</f>
        <v>#NAME?</v>
      </c>
      <c r="I21" s="74" t="e">
        <f ca="1">'RA-10'!AN119</f>
        <v>#NAME?</v>
      </c>
      <c r="J21" s="75" t="e">
        <f ca="1">'RA-10'!AO119</f>
        <v>#NAME?</v>
      </c>
      <c r="K21" s="76" t="e">
        <f>'RA-10'!AJ119</f>
        <v>#DIV/0!</v>
      </c>
      <c r="L21" s="77" t="e">
        <f>'RA-10'!AK119</f>
        <v>#DIV/0!</v>
      </c>
      <c r="M21" s="26"/>
    </row>
    <row r="22" spans="2:23" ht="12.75" customHeight="1" thickBot="1">
      <c r="B22" s="85" t="str">
        <f t="shared" si="0"/>
        <v>Class E</v>
      </c>
      <c r="C22" s="73"/>
      <c r="D22" s="74"/>
      <c r="E22" s="75"/>
      <c r="F22" s="76"/>
      <c r="G22" s="88"/>
      <c r="H22" s="73"/>
      <c r="I22" s="74"/>
      <c r="J22" s="75"/>
      <c r="K22" s="76"/>
      <c r="L22" s="77"/>
      <c r="M22" s="26"/>
    </row>
    <row r="23" spans="2:23" ht="12.75" customHeight="1" thickBot="1">
      <c r="B23" s="86" t="s">
        <v>40</v>
      </c>
      <c r="C23" s="78" t="e">
        <f ca="1">'RA-10'!V122</f>
        <v>#NAME?</v>
      </c>
      <c r="D23" s="79" t="e">
        <f ca="1">'RA-10'!W122</f>
        <v>#NAME?</v>
      </c>
      <c r="E23" s="80" t="e">
        <f ca="1">'RA-10'!X122</f>
        <v>#NAME?</v>
      </c>
      <c r="F23" s="81" t="e">
        <f>'RA-10'!S122</f>
        <v>#DIV/0!</v>
      </c>
      <c r="G23" s="90" t="e">
        <f>'RA-10'!T122</f>
        <v>#DIV/0!</v>
      </c>
      <c r="H23" s="78" t="e">
        <f ca="1">'RA-10'!AM122</f>
        <v>#NAME?</v>
      </c>
      <c r="I23" s="79" t="e">
        <f ca="1">'RA-10'!AN122</f>
        <v>#NAME?</v>
      </c>
      <c r="J23" s="80" t="e">
        <f ca="1">'RA-10'!AO122</f>
        <v>#NAME?</v>
      </c>
      <c r="K23" s="81" t="e">
        <f>'RA-10'!AJ122</f>
        <v>#DIV/0!</v>
      </c>
      <c r="L23" s="82" t="e">
        <f>'RA-10'!AK122</f>
        <v>#DIV/0!</v>
      </c>
      <c r="M23" s="26"/>
      <c r="O23" s="40"/>
      <c r="P23" s="40"/>
      <c r="Q23" s="40"/>
      <c r="R23" s="40"/>
      <c r="S23" s="40"/>
      <c r="T23" s="40"/>
      <c r="U23" s="40"/>
      <c r="V23" s="40"/>
      <c r="W23" s="40"/>
    </row>
    <row r="24" spans="2:23" ht="12.75" customHeight="1" thickBot="1">
      <c r="B24" s="91" t="str">
        <f>B12</f>
        <v>Class F (optional)</v>
      </c>
      <c r="C24" s="78" t="e">
        <f ca="1">'RA-10'!V121</f>
        <v>#NAME?</v>
      </c>
      <c r="D24" s="79" t="e">
        <f ca="1">'RA-10'!W121</f>
        <v>#NAME?</v>
      </c>
      <c r="E24" s="80" t="e">
        <f ca="1">'RA-10'!X121</f>
        <v>#NAME?</v>
      </c>
      <c r="F24" s="81" t="e">
        <f>'RA-10'!S121</f>
        <v>#NUM!</v>
      </c>
      <c r="G24" s="90" t="e">
        <f>'RA-10'!T121</f>
        <v>#NUM!</v>
      </c>
      <c r="H24" s="78" t="e">
        <f ca="1">'RA-10'!AM121</f>
        <v>#NAME?</v>
      </c>
      <c r="I24" s="79" t="e">
        <f ca="1">'RA-10'!AN121</f>
        <v>#NAME?</v>
      </c>
      <c r="J24" s="80" t="e">
        <f ca="1">'RA-10'!AO121</f>
        <v>#NAME?</v>
      </c>
      <c r="K24" s="81" t="e">
        <f>'RA-10'!AJ121</f>
        <v>#DIV/0!</v>
      </c>
      <c r="L24" s="82" t="e">
        <f>'RA-10'!AK121</f>
        <v>#DIV/0!</v>
      </c>
      <c r="M24" s="26"/>
    </row>
    <row r="25" spans="2:23" ht="12.75" customHeight="1" thickBot="1"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2:23" ht="12.75" customHeight="1" thickBot="1">
      <c r="C26" s="113" t="s">
        <v>73</v>
      </c>
      <c r="D26" s="114"/>
      <c r="E26" s="114"/>
      <c r="F26" s="114"/>
      <c r="G26" s="114"/>
      <c r="H26" s="114"/>
      <c r="I26" s="114"/>
      <c r="J26" s="114"/>
      <c r="K26" s="114"/>
      <c r="L26" s="115"/>
      <c r="N26" s="29"/>
      <c r="O26" s="29"/>
    </row>
    <row r="27" spans="2:23" ht="12.75" customHeight="1">
      <c r="C27" s="113" t="str">
        <f>CONCATENATE("Over ", $O$3)</f>
        <v>Over HM-16.6-JEM-4.0(Tool off) (parallel)</v>
      </c>
      <c r="D27" s="114"/>
      <c r="E27" s="114"/>
      <c r="F27" s="114"/>
      <c r="G27" s="115"/>
      <c r="H27" s="113" t="str">
        <f>CONCATENATE("Over ", $O$5)</f>
        <v>Over HM-16.13-RA-SearchRange=256</v>
      </c>
      <c r="I27" s="114"/>
      <c r="J27" s="114"/>
      <c r="K27" s="114"/>
      <c r="L27" s="115"/>
    </row>
    <row r="28" spans="2:23" ht="12.75" customHeight="1" thickBot="1">
      <c r="C28" s="63" t="s">
        <v>23</v>
      </c>
      <c r="D28" s="64" t="s">
        <v>24</v>
      </c>
      <c r="E28" s="65" t="s">
        <v>25</v>
      </c>
      <c r="F28" s="66" t="s">
        <v>45</v>
      </c>
      <c r="G28" s="67" t="s">
        <v>46</v>
      </c>
      <c r="H28" s="63" t="s">
        <v>23</v>
      </c>
      <c r="I28" s="64" t="s">
        <v>24</v>
      </c>
      <c r="J28" s="65" t="s">
        <v>25</v>
      </c>
      <c r="K28" s="66" t="s">
        <v>45</v>
      </c>
      <c r="L28" s="67" t="s">
        <v>46</v>
      </c>
    </row>
    <row r="29" spans="2:23" ht="12.75" customHeight="1">
      <c r="B29" s="84" t="str">
        <f>B5</f>
        <v>Class A1</v>
      </c>
      <c r="C29" s="68"/>
      <c r="D29" s="69"/>
      <c r="E29" s="70"/>
      <c r="F29" s="71"/>
      <c r="G29" s="89"/>
      <c r="H29" s="68"/>
      <c r="I29" s="69"/>
      <c r="J29" s="70"/>
      <c r="K29" s="71"/>
      <c r="L29" s="72"/>
      <c r="M29" s="26"/>
    </row>
    <row r="30" spans="2:23" ht="12.75" customHeight="1">
      <c r="B30" s="85" t="str">
        <f>B6</f>
        <v>Class A2</v>
      </c>
      <c r="C30" s="73"/>
      <c r="D30" s="74"/>
      <c r="E30" s="75"/>
      <c r="F30" s="76"/>
      <c r="G30" s="88"/>
      <c r="H30" s="73"/>
      <c r="I30" s="74"/>
      <c r="J30" s="75"/>
      <c r="K30" s="76"/>
      <c r="L30" s="77"/>
      <c r="M30" s="26"/>
    </row>
    <row r="31" spans="2:23" ht="12.75" customHeight="1">
      <c r="B31" s="85" t="str">
        <f t="shared" ref="B31:B34" si="1">B7</f>
        <v>Class B</v>
      </c>
      <c r="C31" s="73" t="e">
        <f>#REF!</f>
        <v>#REF!</v>
      </c>
      <c r="D31" s="74" t="e">
        <f>#REF!</f>
        <v>#REF!</v>
      </c>
      <c r="E31" s="75" t="e">
        <f>#REF!</f>
        <v>#REF!</v>
      </c>
      <c r="F31" s="76" t="e">
        <f>#REF!</f>
        <v>#REF!</v>
      </c>
      <c r="G31" s="88" t="e">
        <f>#REF!</f>
        <v>#REF!</v>
      </c>
      <c r="H31" s="73" t="e">
        <f>#REF!</f>
        <v>#REF!</v>
      </c>
      <c r="I31" s="74" t="e">
        <f>#REF!</f>
        <v>#REF!</v>
      </c>
      <c r="J31" s="75" t="e">
        <f>#REF!</f>
        <v>#REF!</v>
      </c>
      <c r="K31" s="76" t="e">
        <f>#REF!</f>
        <v>#REF!</v>
      </c>
      <c r="L31" s="77" t="e">
        <f>#REF!</f>
        <v>#REF!</v>
      </c>
      <c r="M31" s="26"/>
    </row>
    <row r="32" spans="2:23" ht="12.75" customHeight="1">
      <c r="B32" s="85" t="str">
        <f t="shared" si="1"/>
        <v>Class C</v>
      </c>
      <c r="C32" s="73" t="e">
        <f>#REF!</f>
        <v>#REF!</v>
      </c>
      <c r="D32" s="74" t="e">
        <f>#REF!</f>
        <v>#REF!</v>
      </c>
      <c r="E32" s="75" t="e">
        <f>#REF!</f>
        <v>#REF!</v>
      </c>
      <c r="F32" s="76" t="e">
        <f>#REF!</f>
        <v>#REF!</v>
      </c>
      <c r="G32" s="88" t="e">
        <f>#REF!</f>
        <v>#REF!</v>
      </c>
      <c r="H32" s="73" t="e">
        <f>#REF!</f>
        <v>#REF!</v>
      </c>
      <c r="I32" s="74" t="e">
        <f>#REF!</f>
        <v>#REF!</v>
      </c>
      <c r="J32" s="75" t="e">
        <f>#REF!</f>
        <v>#REF!</v>
      </c>
      <c r="K32" s="76" t="e">
        <f>#REF!</f>
        <v>#REF!</v>
      </c>
      <c r="L32" s="77" t="e">
        <f>#REF!</f>
        <v>#REF!</v>
      </c>
      <c r="M32" s="26"/>
    </row>
    <row r="33" spans="2:15" ht="12.75" customHeight="1">
      <c r="B33" s="85" t="str">
        <f t="shared" si="1"/>
        <v>Class D</v>
      </c>
      <c r="C33" s="73" t="e">
        <f>#REF!</f>
        <v>#REF!</v>
      </c>
      <c r="D33" s="74" t="e">
        <f>#REF!</f>
        <v>#REF!</v>
      </c>
      <c r="E33" s="75" t="e">
        <f>#REF!</f>
        <v>#REF!</v>
      </c>
      <c r="F33" s="76" t="e">
        <f>#REF!</f>
        <v>#REF!</v>
      </c>
      <c r="G33" s="88" t="e">
        <f>#REF!</f>
        <v>#REF!</v>
      </c>
      <c r="H33" s="73" t="e">
        <f>#REF!</f>
        <v>#REF!</v>
      </c>
      <c r="I33" s="74" t="e">
        <f>#REF!</f>
        <v>#REF!</v>
      </c>
      <c r="J33" s="75" t="e">
        <f>#REF!</f>
        <v>#REF!</v>
      </c>
      <c r="K33" s="76" t="e">
        <f>#REF!</f>
        <v>#REF!</v>
      </c>
      <c r="L33" s="77" t="e">
        <f>#REF!</f>
        <v>#REF!</v>
      </c>
      <c r="M33" s="26"/>
    </row>
    <row r="34" spans="2:15" ht="12.75" customHeight="1" thickBot="1">
      <c r="B34" s="85" t="str">
        <f t="shared" si="1"/>
        <v>Class E</v>
      </c>
      <c r="C34" s="73" t="e">
        <f>#REF!</f>
        <v>#REF!</v>
      </c>
      <c r="D34" s="74" t="e">
        <f>#REF!</f>
        <v>#REF!</v>
      </c>
      <c r="E34" s="75" t="e">
        <f>#REF!</f>
        <v>#REF!</v>
      </c>
      <c r="F34" s="76" t="e">
        <f>#REF!</f>
        <v>#REF!</v>
      </c>
      <c r="G34" s="88" t="e">
        <f>#REF!</f>
        <v>#REF!</v>
      </c>
      <c r="H34" s="73" t="e">
        <f>#REF!</f>
        <v>#REF!</v>
      </c>
      <c r="I34" s="74" t="e">
        <f>#REF!</f>
        <v>#REF!</v>
      </c>
      <c r="J34" s="75" t="e">
        <f>#REF!</f>
        <v>#REF!</v>
      </c>
      <c r="K34" s="76" t="e">
        <f>#REF!</f>
        <v>#REF!</v>
      </c>
      <c r="L34" s="77" t="e">
        <f>#REF!</f>
        <v>#REF!</v>
      </c>
      <c r="M34" s="26"/>
    </row>
    <row r="35" spans="2:15" ht="12.75" customHeight="1" thickBot="1">
      <c r="B35" s="86" t="s">
        <v>40</v>
      </c>
      <c r="C35" s="78" t="e">
        <f>#REF!</f>
        <v>#REF!</v>
      </c>
      <c r="D35" s="79" t="e">
        <f>#REF!</f>
        <v>#REF!</v>
      </c>
      <c r="E35" s="80" t="e">
        <f>#REF!</f>
        <v>#REF!</v>
      </c>
      <c r="F35" s="81" t="e">
        <f>#REF!</f>
        <v>#REF!</v>
      </c>
      <c r="G35" s="90" t="e">
        <f>#REF!</f>
        <v>#REF!</v>
      </c>
      <c r="H35" s="78" t="e">
        <f>#REF!</f>
        <v>#REF!</v>
      </c>
      <c r="I35" s="79" t="e">
        <f>#REF!</f>
        <v>#REF!</v>
      </c>
      <c r="J35" s="80" t="e">
        <f>#REF!</f>
        <v>#REF!</v>
      </c>
      <c r="K35" s="81" t="e">
        <f>#REF!</f>
        <v>#REF!</v>
      </c>
      <c r="L35" s="82" t="e">
        <f>#REF!</f>
        <v>#REF!</v>
      </c>
      <c r="M35" s="26"/>
    </row>
    <row r="36" spans="2:15" ht="12.75" customHeight="1" thickBot="1">
      <c r="B36" s="91" t="str">
        <f>B12</f>
        <v>Class F (optional)</v>
      </c>
      <c r="C36" s="78" t="e">
        <f>#REF!</f>
        <v>#REF!</v>
      </c>
      <c r="D36" s="79" t="e">
        <f>#REF!</f>
        <v>#REF!</v>
      </c>
      <c r="E36" s="80" t="e">
        <f>#REF!</f>
        <v>#REF!</v>
      </c>
      <c r="F36" s="81" t="e">
        <f>#REF!</f>
        <v>#REF!</v>
      </c>
      <c r="G36" s="90" t="e">
        <f>#REF!</f>
        <v>#REF!</v>
      </c>
      <c r="H36" s="78" t="e">
        <f>#REF!</f>
        <v>#REF!</v>
      </c>
      <c r="I36" s="79" t="e">
        <f>#REF!</f>
        <v>#REF!</v>
      </c>
      <c r="J36" s="80" t="e">
        <f>#REF!</f>
        <v>#REF!</v>
      </c>
      <c r="K36" s="81" t="e">
        <f>#REF!</f>
        <v>#REF!</v>
      </c>
      <c r="L36" s="82" t="e">
        <f>#REF!</f>
        <v>#REF!</v>
      </c>
      <c r="M36" s="26"/>
    </row>
    <row r="37" spans="2:15" ht="12.75" customHeight="1" thickBot="1"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5" ht="12.75" customHeight="1" thickBot="1">
      <c r="C38" s="113" t="s">
        <v>74</v>
      </c>
      <c r="D38" s="114"/>
      <c r="E38" s="114"/>
      <c r="F38" s="114"/>
      <c r="G38" s="114"/>
      <c r="H38" s="114"/>
      <c r="I38" s="114"/>
      <c r="J38" s="114"/>
      <c r="K38" s="114"/>
      <c r="L38" s="115"/>
      <c r="N38" s="29"/>
      <c r="O38" s="29"/>
    </row>
    <row r="39" spans="2:15" ht="12.75" customHeight="1">
      <c r="C39" s="113" t="str">
        <f>CONCATENATE("Over ", $O$3)</f>
        <v>Over HM-16.6-JEM-4.0(Tool off) (parallel)</v>
      </c>
      <c r="D39" s="114"/>
      <c r="E39" s="114"/>
      <c r="F39" s="114"/>
      <c r="G39" s="115"/>
      <c r="H39" s="113" t="str">
        <f>CONCATENATE("Over ", $O$5)</f>
        <v>Over HM-16.13-RA-SearchRange=256</v>
      </c>
      <c r="I39" s="114"/>
      <c r="J39" s="114"/>
      <c r="K39" s="114"/>
      <c r="L39" s="115"/>
    </row>
    <row r="40" spans="2:15" ht="12.75" customHeight="1" thickBot="1">
      <c r="C40" s="63" t="s">
        <v>23</v>
      </c>
      <c r="D40" s="64" t="s">
        <v>24</v>
      </c>
      <c r="E40" s="65" t="s">
        <v>25</v>
      </c>
      <c r="F40" s="66" t="s">
        <v>45</v>
      </c>
      <c r="G40" s="67" t="s">
        <v>46</v>
      </c>
      <c r="H40" s="63" t="s">
        <v>23</v>
      </c>
      <c r="I40" s="64" t="s">
        <v>24</v>
      </c>
      <c r="J40" s="65" t="s">
        <v>25</v>
      </c>
      <c r="K40" s="66" t="s">
        <v>45</v>
      </c>
      <c r="L40" s="67" t="s">
        <v>46</v>
      </c>
    </row>
    <row r="41" spans="2:15" ht="12.75" customHeight="1">
      <c r="B41" s="84" t="str">
        <f>B5</f>
        <v>Class A1</v>
      </c>
      <c r="C41" s="68"/>
      <c r="D41" s="69"/>
      <c r="E41" s="70"/>
      <c r="F41" s="71"/>
      <c r="G41" s="89"/>
      <c r="H41" s="68"/>
      <c r="I41" s="69"/>
      <c r="J41" s="70"/>
      <c r="K41" s="71"/>
      <c r="L41" s="72"/>
    </row>
    <row r="42" spans="2:15" ht="12.75" customHeight="1">
      <c r="B42" s="85" t="str">
        <f>B6</f>
        <v>Class A2</v>
      </c>
      <c r="C42" s="73"/>
      <c r="D42" s="74"/>
      <c r="E42" s="75"/>
      <c r="F42" s="76"/>
      <c r="G42" s="88"/>
      <c r="H42" s="73"/>
      <c r="I42" s="74"/>
      <c r="J42" s="75"/>
      <c r="K42" s="76"/>
      <c r="L42" s="77"/>
    </row>
    <row r="43" spans="2:15" ht="12.75" customHeight="1">
      <c r="B43" s="85" t="str">
        <f t="shared" ref="B43:B46" si="2">B7</f>
        <v>Class B</v>
      </c>
      <c r="C43" s="73" t="e">
        <f>#REF!</f>
        <v>#REF!</v>
      </c>
      <c r="D43" s="74" t="e">
        <f>#REF!</f>
        <v>#REF!</v>
      </c>
      <c r="E43" s="75" t="e">
        <f>#REF!</f>
        <v>#REF!</v>
      </c>
      <c r="F43" s="76" t="e">
        <f>#REF!</f>
        <v>#REF!</v>
      </c>
      <c r="G43" s="88" t="e">
        <f>#REF!</f>
        <v>#REF!</v>
      </c>
      <c r="H43" s="73" t="e">
        <f>#REF!</f>
        <v>#REF!</v>
      </c>
      <c r="I43" s="74" t="e">
        <f>#REF!</f>
        <v>#REF!</v>
      </c>
      <c r="J43" s="75" t="e">
        <f>#REF!</f>
        <v>#REF!</v>
      </c>
      <c r="K43" s="76" t="e">
        <f>#REF!</f>
        <v>#REF!</v>
      </c>
      <c r="L43" s="77" t="e">
        <f>#REF!</f>
        <v>#REF!</v>
      </c>
    </row>
    <row r="44" spans="2:15" ht="12.75" customHeight="1">
      <c r="B44" s="85" t="str">
        <f t="shared" si="2"/>
        <v>Class C</v>
      </c>
      <c r="C44" s="73" t="e">
        <f>#REF!</f>
        <v>#REF!</v>
      </c>
      <c r="D44" s="74" t="e">
        <f>#REF!</f>
        <v>#REF!</v>
      </c>
      <c r="E44" s="75" t="e">
        <f>#REF!</f>
        <v>#REF!</v>
      </c>
      <c r="F44" s="76" t="e">
        <f>#REF!</f>
        <v>#REF!</v>
      </c>
      <c r="G44" s="88" t="e">
        <f>#REF!</f>
        <v>#REF!</v>
      </c>
      <c r="H44" s="73" t="e">
        <f>#REF!</f>
        <v>#REF!</v>
      </c>
      <c r="I44" s="74" t="e">
        <f>#REF!</f>
        <v>#REF!</v>
      </c>
      <c r="J44" s="75" t="e">
        <f>#REF!</f>
        <v>#REF!</v>
      </c>
      <c r="K44" s="76" t="e">
        <f>#REF!</f>
        <v>#REF!</v>
      </c>
      <c r="L44" s="77" t="e">
        <f>#REF!</f>
        <v>#REF!</v>
      </c>
    </row>
    <row r="45" spans="2:15" ht="12.75" customHeight="1">
      <c r="B45" s="85" t="str">
        <f t="shared" si="2"/>
        <v>Class D</v>
      </c>
      <c r="C45" s="73" t="e">
        <f>#REF!</f>
        <v>#REF!</v>
      </c>
      <c r="D45" s="74" t="e">
        <f>#REF!</f>
        <v>#REF!</v>
      </c>
      <c r="E45" s="75" t="e">
        <f>#REF!</f>
        <v>#REF!</v>
      </c>
      <c r="F45" s="76" t="e">
        <f>#REF!</f>
        <v>#REF!</v>
      </c>
      <c r="G45" s="88" t="e">
        <f>#REF!</f>
        <v>#REF!</v>
      </c>
      <c r="H45" s="73" t="e">
        <f>#REF!</f>
        <v>#REF!</v>
      </c>
      <c r="I45" s="74" t="e">
        <f>#REF!</f>
        <v>#REF!</v>
      </c>
      <c r="J45" s="75" t="e">
        <f>#REF!</f>
        <v>#REF!</v>
      </c>
      <c r="K45" s="76" t="e">
        <f>#REF!</f>
        <v>#REF!</v>
      </c>
      <c r="L45" s="77" t="e">
        <f>#REF!</f>
        <v>#REF!</v>
      </c>
    </row>
    <row r="46" spans="2:15" ht="12.75" customHeight="1" thickBot="1">
      <c r="B46" s="85" t="str">
        <f t="shared" si="2"/>
        <v>Class E</v>
      </c>
      <c r="C46" s="73" t="e">
        <f>#REF!</f>
        <v>#REF!</v>
      </c>
      <c r="D46" s="74" t="e">
        <f>#REF!</f>
        <v>#REF!</v>
      </c>
      <c r="E46" s="75" t="e">
        <f>#REF!</f>
        <v>#REF!</v>
      </c>
      <c r="F46" s="76" t="e">
        <f>#REF!</f>
        <v>#REF!</v>
      </c>
      <c r="G46" s="88" t="e">
        <f>#REF!</f>
        <v>#REF!</v>
      </c>
      <c r="H46" s="73" t="e">
        <f>#REF!</f>
        <v>#REF!</v>
      </c>
      <c r="I46" s="74" t="e">
        <f>#REF!</f>
        <v>#REF!</v>
      </c>
      <c r="J46" s="75" t="e">
        <f>#REF!</f>
        <v>#REF!</v>
      </c>
      <c r="K46" s="76" t="e">
        <f>#REF!</f>
        <v>#REF!</v>
      </c>
      <c r="L46" s="77" t="e">
        <f>#REF!</f>
        <v>#REF!</v>
      </c>
    </row>
    <row r="47" spans="2:15" ht="12.75" customHeight="1" thickBot="1">
      <c r="B47" s="86" t="s">
        <v>40</v>
      </c>
      <c r="C47" s="78" t="e">
        <f>#REF!</f>
        <v>#REF!</v>
      </c>
      <c r="D47" s="79" t="e">
        <f>#REF!</f>
        <v>#REF!</v>
      </c>
      <c r="E47" s="80" t="e">
        <f>#REF!</f>
        <v>#REF!</v>
      </c>
      <c r="F47" s="81" t="e">
        <f>#REF!</f>
        <v>#REF!</v>
      </c>
      <c r="G47" s="90" t="e">
        <f>#REF!</f>
        <v>#REF!</v>
      </c>
      <c r="H47" s="78" t="e">
        <f>#REF!</f>
        <v>#REF!</v>
      </c>
      <c r="I47" s="79" t="e">
        <f>#REF!</f>
        <v>#REF!</v>
      </c>
      <c r="J47" s="80" t="e">
        <f>#REF!</f>
        <v>#REF!</v>
      </c>
      <c r="K47" s="81" t="e">
        <f>#REF!</f>
        <v>#REF!</v>
      </c>
      <c r="L47" s="82" t="e">
        <f>#REF!</f>
        <v>#REF!</v>
      </c>
    </row>
    <row r="48" spans="2:15" ht="12.75" customHeight="1" thickBot="1">
      <c r="B48" s="91" t="str">
        <f>B12</f>
        <v>Class F (optional)</v>
      </c>
      <c r="C48" s="78" t="e">
        <f>#REF!</f>
        <v>#REF!</v>
      </c>
      <c r="D48" s="79" t="e">
        <f>#REF!</f>
        <v>#REF!</v>
      </c>
      <c r="E48" s="80" t="e">
        <f>#REF!</f>
        <v>#REF!</v>
      </c>
      <c r="F48" s="81" t="e">
        <f>#REF!</f>
        <v>#REF!</v>
      </c>
      <c r="G48" s="90" t="e">
        <f>#REF!</f>
        <v>#REF!</v>
      </c>
      <c r="H48" s="78" t="e">
        <f>#REF!</f>
        <v>#REF!</v>
      </c>
      <c r="I48" s="79" t="e">
        <f>#REF!</f>
        <v>#REF!</v>
      </c>
      <c r="J48" s="80" t="e">
        <f>#REF!</f>
        <v>#REF!</v>
      </c>
      <c r="K48" s="81" t="e">
        <f>#REF!</f>
        <v>#REF!</v>
      </c>
      <c r="L48" s="82" t="e">
        <f>#REF!</f>
        <v>#REF!</v>
      </c>
    </row>
  </sheetData>
  <mergeCells count="12">
    <mergeCell ref="H15:L15"/>
    <mergeCell ref="C2:L2"/>
    <mergeCell ref="H3:L3"/>
    <mergeCell ref="C14:L14"/>
    <mergeCell ref="C39:G39"/>
    <mergeCell ref="C3:G3"/>
    <mergeCell ref="C15:G15"/>
    <mergeCell ref="C27:G27"/>
    <mergeCell ref="C26:L26"/>
    <mergeCell ref="H27:L27"/>
    <mergeCell ref="C38:L38"/>
    <mergeCell ref="H39:L39"/>
  </mergeCells>
  <phoneticPr fontId="1" type="noConversion"/>
  <conditionalFormatting sqref="C10:E10 C12:E12">
    <cfRule type="cellIs" dxfId="609" priority="323" stopIfTrue="1" operator="greaterThan">
      <formula>0.03</formula>
    </cfRule>
    <cfRule type="cellIs" dxfId="608" priority="324" stopIfTrue="1" operator="lessThan">
      <formula>-0.03</formula>
    </cfRule>
  </conditionalFormatting>
  <conditionalFormatting sqref="C11:E11">
    <cfRule type="cellIs" dxfId="607" priority="249" stopIfTrue="1" operator="greaterThan">
      <formula>0.03</formula>
    </cfRule>
    <cfRule type="cellIs" dxfId="606" priority="250" stopIfTrue="1" operator="lessThan">
      <formula>-0.03</formula>
    </cfRule>
  </conditionalFormatting>
  <conditionalFormatting sqref="C5:E5 C7:E9">
    <cfRule type="cellIs" dxfId="605" priority="247" stopIfTrue="1" operator="greaterThan">
      <formula>0.03</formula>
    </cfRule>
    <cfRule type="cellIs" dxfId="604" priority="248" stopIfTrue="1" operator="lessThan">
      <formula>-0.03</formula>
    </cfRule>
  </conditionalFormatting>
  <conditionalFormatting sqref="H10:J10 H12:J12">
    <cfRule type="cellIs" dxfId="603" priority="105" stopIfTrue="1" operator="greaterThan">
      <formula>0.03</formula>
    </cfRule>
    <cfRule type="cellIs" dxfId="602" priority="106" stopIfTrue="1" operator="lessThan">
      <formula>-0.03</formula>
    </cfRule>
  </conditionalFormatting>
  <conditionalFormatting sqref="H11:J11">
    <cfRule type="cellIs" dxfId="601" priority="103" stopIfTrue="1" operator="greaterThan">
      <formula>0.03</formula>
    </cfRule>
    <cfRule type="cellIs" dxfId="600" priority="104" stopIfTrue="1" operator="lessThan">
      <formula>-0.03</formula>
    </cfRule>
  </conditionalFormatting>
  <conditionalFormatting sqref="H5:J5 H7:J9">
    <cfRule type="cellIs" dxfId="599" priority="101" stopIfTrue="1" operator="greaterThan">
      <formula>0.03</formula>
    </cfRule>
    <cfRule type="cellIs" dxfId="598" priority="102" stopIfTrue="1" operator="lessThan">
      <formula>-0.03</formula>
    </cfRule>
  </conditionalFormatting>
  <conditionalFormatting sqref="C6:E6">
    <cfRule type="cellIs" dxfId="597" priority="63" stopIfTrue="1" operator="greaterThan">
      <formula>0.03</formula>
    </cfRule>
    <cfRule type="cellIs" dxfId="596" priority="64" stopIfTrue="1" operator="lessThan">
      <formula>-0.03</formula>
    </cfRule>
  </conditionalFormatting>
  <conditionalFormatting sqref="H6:J6">
    <cfRule type="cellIs" dxfId="595" priority="61" stopIfTrue="1" operator="greaterThan">
      <formula>0.03</formula>
    </cfRule>
    <cfRule type="cellIs" dxfId="594" priority="62" stopIfTrue="1" operator="lessThan">
      <formula>-0.03</formula>
    </cfRule>
  </conditionalFormatting>
  <conditionalFormatting sqref="C22:E22 C24:E24">
    <cfRule type="cellIs" dxfId="593" priority="47" stopIfTrue="1" operator="greaterThan">
      <formula>0.03</formula>
    </cfRule>
    <cfRule type="cellIs" dxfId="592" priority="48" stopIfTrue="1" operator="lessThan">
      <formula>-0.03</formula>
    </cfRule>
  </conditionalFormatting>
  <conditionalFormatting sqref="C23:E23">
    <cfRule type="cellIs" dxfId="591" priority="45" stopIfTrue="1" operator="greaterThan">
      <formula>0.03</formula>
    </cfRule>
    <cfRule type="cellIs" dxfId="590" priority="46" stopIfTrue="1" operator="lessThan">
      <formula>-0.03</formula>
    </cfRule>
  </conditionalFormatting>
  <conditionalFormatting sqref="C17:E17 C19:E21">
    <cfRule type="cellIs" dxfId="589" priority="43" stopIfTrue="1" operator="greaterThan">
      <formula>0.03</formula>
    </cfRule>
    <cfRule type="cellIs" dxfId="588" priority="44" stopIfTrue="1" operator="lessThan">
      <formula>-0.03</formula>
    </cfRule>
  </conditionalFormatting>
  <conditionalFormatting sqref="H22:J22 H24:J24">
    <cfRule type="cellIs" dxfId="587" priority="41" stopIfTrue="1" operator="greaterThan">
      <formula>0.03</formula>
    </cfRule>
    <cfRule type="cellIs" dxfId="586" priority="42" stopIfTrue="1" operator="lessThan">
      <formula>-0.03</formula>
    </cfRule>
  </conditionalFormatting>
  <conditionalFormatting sqref="H23:J23">
    <cfRule type="cellIs" dxfId="585" priority="39" stopIfTrue="1" operator="greaterThan">
      <formula>0.03</formula>
    </cfRule>
    <cfRule type="cellIs" dxfId="584" priority="40" stopIfTrue="1" operator="lessThan">
      <formula>-0.03</formula>
    </cfRule>
  </conditionalFormatting>
  <conditionalFormatting sqref="H17:J17 H19:J21">
    <cfRule type="cellIs" dxfId="583" priority="37" stopIfTrue="1" operator="greaterThan">
      <formula>0.03</formula>
    </cfRule>
    <cfRule type="cellIs" dxfId="582" priority="38" stopIfTrue="1" operator="lessThan">
      <formula>-0.03</formula>
    </cfRule>
  </conditionalFormatting>
  <conditionalFormatting sqref="C18:E18">
    <cfRule type="cellIs" dxfId="581" priority="35" stopIfTrue="1" operator="greaterThan">
      <formula>0.03</formula>
    </cfRule>
    <cfRule type="cellIs" dxfId="580" priority="36" stopIfTrue="1" operator="lessThan">
      <formula>-0.03</formula>
    </cfRule>
  </conditionalFormatting>
  <conditionalFormatting sqref="H18:J18">
    <cfRule type="cellIs" dxfId="579" priority="33" stopIfTrue="1" operator="greaterThan">
      <formula>0.03</formula>
    </cfRule>
    <cfRule type="cellIs" dxfId="578" priority="34" stopIfTrue="1" operator="lessThan">
      <formula>-0.03</formula>
    </cfRule>
  </conditionalFormatting>
  <conditionalFormatting sqref="C34:E34 C36:E36">
    <cfRule type="cellIs" dxfId="577" priority="31" stopIfTrue="1" operator="greaterThan">
      <formula>0.03</formula>
    </cfRule>
    <cfRule type="cellIs" dxfId="576" priority="32" stopIfTrue="1" operator="lessThan">
      <formula>-0.03</formula>
    </cfRule>
  </conditionalFormatting>
  <conditionalFormatting sqref="C35:E35">
    <cfRule type="cellIs" dxfId="575" priority="29" stopIfTrue="1" operator="greaterThan">
      <formula>0.03</formula>
    </cfRule>
    <cfRule type="cellIs" dxfId="574" priority="30" stopIfTrue="1" operator="lessThan">
      <formula>-0.03</formula>
    </cfRule>
  </conditionalFormatting>
  <conditionalFormatting sqref="C29:E29 C31:E33">
    <cfRule type="cellIs" dxfId="573" priority="27" stopIfTrue="1" operator="greaterThan">
      <formula>0.03</formula>
    </cfRule>
    <cfRule type="cellIs" dxfId="572" priority="28" stopIfTrue="1" operator="lessThan">
      <formula>-0.03</formula>
    </cfRule>
  </conditionalFormatting>
  <conditionalFormatting sqref="H34:J34 H36:J36">
    <cfRule type="cellIs" dxfId="571" priority="25" stopIfTrue="1" operator="greaterThan">
      <formula>0.03</formula>
    </cfRule>
    <cfRule type="cellIs" dxfId="570" priority="26" stopIfTrue="1" operator="lessThan">
      <formula>-0.03</formula>
    </cfRule>
  </conditionalFormatting>
  <conditionalFormatting sqref="H35:J35">
    <cfRule type="cellIs" dxfId="569" priority="23" stopIfTrue="1" operator="greaterThan">
      <formula>0.03</formula>
    </cfRule>
    <cfRule type="cellIs" dxfId="568" priority="24" stopIfTrue="1" operator="lessThan">
      <formula>-0.03</formula>
    </cfRule>
  </conditionalFormatting>
  <conditionalFormatting sqref="H29:J29 H31:J33">
    <cfRule type="cellIs" dxfId="567" priority="21" stopIfTrue="1" operator="greaterThan">
      <formula>0.03</formula>
    </cfRule>
    <cfRule type="cellIs" dxfId="566" priority="22" stopIfTrue="1" operator="lessThan">
      <formula>-0.03</formula>
    </cfRule>
  </conditionalFormatting>
  <conditionalFormatting sqref="C30:E30">
    <cfRule type="cellIs" dxfId="565" priority="19" stopIfTrue="1" operator="greaterThan">
      <formula>0.03</formula>
    </cfRule>
    <cfRule type="cellIs" dxfId="564" priority="20" stopIfTrue="1" operator="lessThan">
      <formula>-0.03</formula>
    </cfRule>
  </conditionalFormatting>
  <conditionalFormatting sqref="H30:J30">
    <cfRule type="cellIs" dxfId="563" priority="17" stopIfTrue="1" operator="greaterThan">
      <formula>0.03</formula>
    </cfRule>
    <cfRule type="cellIs" dxfId="562" priority="18" stopIfTrue="1" operator="lessThan">
      <formula>-0.03</formula>
    </cfRule>
  </conditionalFormatting>
  <conditionalFormatting sqref="C46:E46 C48:E48">
    <cfRule type="cellIs" dxfId="561" priority="15" stopIfTrue="1" operator="greaterThan">
      <formula>0.03</formula>
    </cfRule>
    <cfRule type="cellIs" dxfId="560" priority="16" stopIfTrue="1" operator="lessThan">
      <formula>-0.03</formula>
    </cfRule>
  </conditionalFormatting>
  <conditionalFormatting sqref="C47:E47">
    <cfRule type="cellIs" dxfId="559" priority="13" stopIfTrue="1" operator="greaterThan">
      <formula>0.03</formula>
    </cfRule>
    <cfRule type="cellIs" dxfId="558" priority="14" stopIfTrue="1" operator="lessThan">
      <formula>-0.03</formula>
    </cfRule>
  </conditionalFormatting>
  <conditionalFormatting sqref="C41:E41 C43:E45">
    <cfRule type="cellIs" dxfId="557" priority="11" stopIfTrue="1" operator="greaterThan">
      <formula>0.03</formula>
    </cfRule>
    <cfRule type="cellIs" dxfId="556" priority="12" stopIfTrue="1" operator="lessThan">
      <formula>-0.03</formula>
    </cfRule>
  </conditionalFormatting>
  <conditionalFormatting sqref="H46:J46 H48:J48">
    <cfRule type="cellIs" dxfId="555" priority="9" stopIfTrue="1" operator="greaterThan">
      <formula>0.03</formula>
    </cfRule>
    <cfRule type="cellIs" dxfId="554" priority="10" stopIfTrue="1" operator="lessThan">
      <formula>-0.03</formula>
    </cfRule>
  </conditionalFormatting>
  <conditionalFormatting sqref="H47:J47">
    <cfRule type="cellIs" dxfId="553" priority="7" stopIfTrue="1" operator="greaterThan">
      <formula>0.03</formula>
    </cfRule>
    <cfRule type="cellIs" dxfId="552" priority="8" stopIfTrue="1" operator="lessThan">
      <formula>-0.03</formula>
    </cfRule>
  </conditionalFormatting>
  <conditionalFormatting sqref="H41:J41 H43:J45">
    <cfRule type="cellIs" dxfId="551" priority="5" stopIfTrue="1" operator="greaterThan">
      <formula>0.03</formula>
    </cfRule>
    <cfRule type="cellIs" dxfId="550" priority="6" stopIfTrue="1" operator="lessThan">
      <formula>-0.03</formula>
    </cfRule>
  </conditionalFormatting>
  <conditionalFormatting sqref="C42:E42">
    <cfRule type="cellIs" dxfId="549" priority="3" stopIfTrue="1" operator="greaterThan">
      <formula>0.03</formula>
    </cfRule>
    <cfRule type="cellIs" dxfId="548" priority="4" stopIfTrue="1" operator="lessThan">
      <formula>-0.03</formula>
    </cfRule>
  </conditionalFormatting>
  <conditionalFormatting sqref="H42:J42">
    <cfRule type="cellIs" dxfId="547" priority="1" stopIfTrue="1" operator="greaterThan">
      <formula>0.03</formula>
    </cfRule>
    <cfRule type="cellIs" dxfId="54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AQ86"/>
  <sheetViews>
    <sheetView topLeftCell="W1" workbookViewId="0">
      <selection activeCell="B2" sqref="B2"/>
    </sheetView>
  </sheetViews>
  <sheetFormatPr defaultColWidth="8.875" defaultRowHeight="14.25"/>
  <cols>
    <col min="2" max="2" width="21.375" customWidth="1"/>
    <col min="25" max="26" width="9" customWidth="1"/>
    <col min="27" max="27" width="13.5" style="31" customWidth="1"/>
    <col min="28" max="39" width="9" customWidth="1"/>
  </cols>
  <sheetData>
    <row r="1" spans="1:43" ht="15" thickBot="1">
      <c r="A1" t="s">
        <v>33</v>
      </c>
      <c r="AD1" t="s">
        <v>31</v>
      </c>
      <c r="AI1" t="s">
        <v>32</v>
      </c>
      <c r="AN1" t="s">
        <v>41</v>
      </c>
    </row>
    <row r="2" spans="1:43" ht="15.75" thickBot="1">
      <c r="A2" s="30" t="s">
        <v>87</v>
      </c>
      <c r="B2" s="30" t="s">
        <v>69</v>
      </c>
      <c r="AD2" s="5" t="s">
        <v>16</v>
      </c>
      <c r="AE2" s="6" t="s">
        <v>17</v>
      </c>
      <c r="AF2" s="6" t="s">
        <v>18</v>
      </c>
      <c r="AG2" s="6" t="s">
        <v>19</v>
      </c>
      <c r="AI2" s="5" t="s">
        <v>16</v>
      </c>
      <c r="AJ2" s="6" t="s">
        <v>17</v>
      </c>
      <c r="AK2" s="6" t="s">
        <v>18</v>
      </c>
      <c r="AL2" s="6" t="s">
        <v>19</v>
      </c>
      <c r="AN2" s="5" t="s">
        <v>16</v>
      </c>
      <c r="AO2" s="6" t="s">
        <v>17</v>
      </c>
      <c r="AP2" s="6" t="s">
        <v>18</v>
      </c>
      <c r="AQ2" s="6" t="s">
        <v>19</v>
      </c>
    </row>
    <row r="3" spans="1:43">
      <c r="Z3" t="s">
        <v>86</v>
      </c>
      <c r="AA3" t="s">
        <v>78</v>
      </c>
      <c r="AB3">
        <v>3</v>
      </c>
      <c r="AC3">
        <f>VLOOKUP(B2,AA3:AB43,2,FALSE)</f>
        <v>107</v>
      </c>
      <c r="AD3">
        <f ca="1">INDIRECT("'"&amp;$A$2&amp;"'!"&amp;ADDRESS($AC3,4))</f>
        <v>1308.2464</v>
      </c>
      <c r="AE3">
        <f ca="1">INDIRECT("'"&amp;$A$2&amp;"'!"&amp;ADDRESS($AC3,5))</f>
        <v>50.155994666666601</v>
      </c>
      <c r="AF3">
        <f ca="1">INDIRECT("'"&amp;$A$2&amp;"'!"&amp;ADDRESS($AC3,6))</f>
        <v>48.012406999999897</v>
      </c>
      <c r="AG3">
        <f ca="1">INDIRECT("'"&amp;$A$2&amp;"'!"&amp;ADDRESS($AC3,7))</f>
        <v>47.963107000000001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>
      <c r="Z4" t="s">
        <v>87</v>
      </c>
      <c r="AA4" t="s">
        <v>79</v>
      </c>
      <c r="AB4">
        <f>AB3+4</f>
        <v>7</v>
      </c>
      <c r="AC4">
        <f>AC3+1</f>
        <v>108</v>
      </c>
      <c r="AD4">
        <f ca="1">INDIRECT("'"&amp;$A$2&amp;"'!"&amp;ADDRESS($AC4,4))</f>
        <v>994.7</v>
      </c>
      <c r="AE4">
        <f ca="1">INDIRECT("'"&amp;$A$2&amp;"'!"&amp;ADDRESS($AC4,5))</f>
        <v>46.099287333333301</v>
      </c>
      <c r="AF4">
        <f ca="1">INDIRECT("'"&amp;$A$2&amp;"'!"&amp;ADDRESS($AC4,6))</f>
        <v>43.775575666666597</v>
      </c>
      <c r="AG4">
        <f ca="1">INDIRECT("'"&amp;$A$2&amp;"'!"&amp;ADDRESS($AC4,7))</f>
        <v>44.190417666666598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>
      <c r="Z5" t="s">
        <v>88</v>
      </c>
      <c r="AA5" t="s">
        <v>80</v>
      </c>
      <c r="AB5">
        <f t="shared" ref="AB5:AB30" si="0">AB4+4</f>
        <v>11</v>
      </c>
      <c r="AC5">
        <f>AC4+1</f>
        <v>109</v>
      </c>
      <c r="AD5">
        <f ca="1">INDIRECT("'"&amp;$A$2&amp;"'!"&amp;ADDRESS($AC5,4))</f>
        <v>757.32319999999902</v>
      </c>
      <c r="AE5">
        <f ca="1">INDIRECT("'"&amp;$A$2&amp;"'!"&amp;ADDRESS($AC5,5))</f>
        <v>41.552923</v>
      </c>
      <c r="AF5">
        <f ca="1">INDIRECT("'"&amp;$A$2&amp;"'!"&amp;ADDRESS($AC5,6))</f>
        <v>40.778382333333298</v>
      </c>
      <c r="AG5">
        <f ca="1">INDIRECT("'"&amp;$A$2&amp;"'!"&amp;ADDRESS($AC5,7))</f>
        <v>41.667815999999902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>
      <c r="Z6" t="s">
        <v>89</v>
      </c>
      <c r="AA6" t="s">
        <v>81</v>
      </c>
      <c r="AB6">
        <f t="shared" si="0"/>
        <v>15</v>
      </c>
      <c r="AC6">
        <f>AC5+1</f>
        <v>110</v>
      </c>
      <c r="AD6">
        <f ca="1">INDIRECT("'"&amp;$A$2&amp;"'!"&amp;ADDRESS($AC6,4))</f>
        <v>569.40880000000004</v>
      </c>
      <c r="AE6">
        <f ca="1">INDIRECT("'"&amp;$A$2&amp;"'!"&amp;ADDRESS($AC6,5))</f>
        <v>36.834349666666597</v>
      </c>
      <c r="AF6">
        <f ca="1">INDIRECT("'"&amp;$A$2&amp;"'!"&amp;ADDRESS($AC6,6))</f>
        <v>38.976370666666597</v>
      </c>
      <c r="AG6">
        <f ca="1">INDIRECT("'"&amp;$A$2&amp;"'!"&amp;ADDRESS($AC6,7))</f>
        <v>40.078530999999998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>
      <c r="AA7" t="s">
        <v>82</v>
      </c>
      <c r="AB7">
        <f t="shared" si="0"/>
        <v>19</v>
      </c>
    </row>
    <row r="8" spans="1:43">
      <c r="AA8" t="s">
        <v>83</v>
      </c>
      <c r="AB8">
        <f t="shared" si="0"/>
        <v>23</v>
      </c>
      <c r="AD8" t="str">
        <f>"Sequence: "&amp;B2 &amp; "     Coding Conditions: " &amp; A2</f>
        <v>Sequence: SlideEditing     Coding Conditions: RA-10</v>
      </c>
    </row>
    <row r="9" spans="1:43">
      <c r="AA9" t="s">
        <v>84</v>
      </c>
      <c r="AB9">
        <f t="shared" si="0"/>
        <v>27</v>
      </c>
    </row>
    <row r="10" spans="1:43">
      <c r="AA10" t="s">
        <v>85</v>
      </c>
      <c r="AB10">
        <f t="shared" si="0"/>
        <v>31</v>
      </c>
    </row>
    <row r="11" spans="1:43">
      <c r="AA11" t="s">
        <v>2</v>
      </c>
      <c r="AB11">
        <f t="shared" si="0"/>
        <v>35</v>
      </c>
      <c r="AD11" t="s">
        <v>34</v>
      </c>
      <c r="AE11" t="s">
        <v>35</v>
      </c>
      <c r="AF11" t="s">
        <v>36</v>
      </c>
      <c r="AG11" t="s">
        <v>37</v>
      </c>
    </row>
    <row r="12" spans="1:43" ht="15">
      <c r="AA12" t="s">
        <v>3</v>
      </c>
      <c r="AB12">
        <f t="shared" si="0"/>
        <v>39</v>
      </c>
      <c r="AD12" s="32">
        <f ca="1">MAX(AD3:AD6,AI3:AI6, AN3:AN6)</f>
        <v>1308.2464</v>
      </c>
      <c r="AE12" s="32">
        <f ca="1">MAX(AE3:AE6,AJ3:AJ6, AO3:AO6)</f>
        <v>50.155994666666601</v>
      </c>
      <c r="AF12" s="32">
        <f ca="1">MAX(AF3:AF6,AK3:AK6, AP3:AP6)</f>
        <v>48.012406999999897</v>
      </c>
      <c r="AG12" s="32">
        <f ca="1">MAX(AG3:AG6,AL3:AL6, AQ3:AQ6)</f>
        <v>47.963107000000001</v>
      </c>
    </row>
    <row r="13" spans="1:43" ht="15">
      <c r="AA13" t="s">
        <v>4</v>
      </c>
      <c r="AB13">
        <f t="shared" si="0"/>
        <v>43</v>
      </c>
      <c r="AD13" s="32">
        <f ca="1">MIN(AD3:AD6,AI3:AI6,AN3:AN6)</f>
        <v>0</v>
      </c>
      <c r="AE13" s="32">
        <f ca="1">MIN(AE3:AE6,AJ3:AJ6,AO3:AO6)</f>
        <v>0</v>
      </c>
      <c r="AF13" s="32">
        <f ca="1">MIN(AF3:AF6,AK3:AK6,AP3:AP6)</f>
        <v>0</v>
      </c>
      <c r="AG13" s="32">
        <f ca="1">MIN(AG3:AG6,AL3:AL6,AQ3:AQ6)</f>
        <v>0</v>
      </c>
    </row>
    <row r="14" spans="1:43" ht="15">
      <c r="AA14" t="s">
        <v>5</v>
      </c>
      <c r="AB14">
        <f t="shared" si="0"/>
        <v>47</v>
      </c>
      <c r="AD14" s="33"/>
      <c r="AE14" s="33"/>
      <c r="AF14" s="33"/>
      <c r="AG14" s="33"/>
    </row>
    <row r="15" spans="1:43" ht="15">
      <c r="AA15" t="s">
        <v>6</v>
      </c>
      <c r="AB15">
        <f t="shared" si="0"/>
        <v>51</v>
      </c>
      <c r="AD15" s="33">
        <f ca="1">POWER(10,CEILING(LOG(AD12+1),1))</f>
        <v>10000</v>
      </c>
      <c r="AE15" s="34">
        <f ca="1">CEILING(AE12+0.25,0.5)</f>
        <v>50.5</v>
      </c>
      <c r="AF15" s="34">
        <f ca="1">CEILING(AF12+0.25,0.5)</f>
        <v>48.5</v>
      </c>
      <c r="AG15" s="34">
        <f ca="1">CEILING(AG12+0.25,0.5)</f>
        <v>48.5</v>
      </c>
    </row>
    <row r="16" spans="1:43" ht="15">
      <c r="AA16" t="s">
        <v>58</v>
      </c>
      <c r="AB16">
        <f t="shared" si="0"/>
        <v>55</v>
      </c>
      <c r="AD16" s="33">
        <f ca="1">POWER(10,FLOOR(LOG(AD13+10),1))</f>
        <v>10</v>
      </c>
      <c r="AE16" s="34" t="e">
        <f ca="1">FLOOR(AE13-0.25,0.5)</f>
        <v>#NUM!</v>
      </c>
      <c r="AF16" s="34" t="e">
        <f ca="1">FLOOR(AF13-0.25,0.5)</f>
        <v>#NUM!</v>
      </c>
      <c r="AG16" s="34" t="e">
        <f ca="1">FLOOR(AG13-0.25,0.5)</f>
        <v>#NUM!</v>
      </c>
    </row>
    <row r="17" spans="27:28">
      <c r="AA17" t="s">
        <v>42</v>
      </c>
      <c r="AB17">
        <f t="shared" si="0"/>
        <v>59</v>
      </c>
    </row>
    <row r="18" spans="27:28">
      <c r="AA18" t="s">
        <v>47</v>
      </c>
      <c r="AB18">
        <f t="shared" si="0"/>
        <v>63</v>
      </c>
    </row>
    <row r="19" spans="27:28">
      <c r="AA19" t="s">
        <v>48</v>
      </c>
      <c r="AB19">
        <f t="shared" si="0"/>
        <v>67</v>
      </c>
    </row>
    <row r="20" spans="27:28">
      <c r="AA20" t="s">
        <v>61</v>
      </c>
      <c r="AB20">
        <f t="shared" si="0"/>
        <v>71</v>
      </c>
    </row>
    <row r="21" spans="27:28">
      <c r="AA21" t="s">
        <v>62</v>
      </c>
      <c r="AB21">
        <f t="shared" si="0"/>
        <v>75</v>
      </c>
    </row>
    <row r="22" spans="27:28">
      <c r="AA22" t="s">
        <v>63</v>
      </c>
      <c r="AB22">
        <f t="shared" si="0"/>
        <v>79</v>
      </c>
    </row>
    <row r="23" spans="27:28">
      <c r="AA23" t="s">
        <v>60</v>
      </c>
      <c r="AB23">
        <f t="shared" si="0"/>
        <v>83</v>
      </c>
    </row>
    <row r="24" spans="27:28">
      <c r="AA24" t="s">
        <v>64</v>
      </c>
      <c r="AB24">
        <f t="shared" si="0"/>
        <v>87</v>
      </c>
    </row>
    <row r="25" spans="27:28">
      <c r="AA25" t="s">
        <v>65</v>
      </c>
      <c r="AB25">
        <f t="shared" si="0"/>
        <v>91</v>
      </c>
    </row>
    <row r="26" spans="27:28">
      <c r="AA26" t="s">
        <v>66</v>
      </c>
      <c r="AB26">
        <f t="shared" si="0"/>
        <v>95</v>
      </c>
    </row>
    <row r="27" spans="27:28">
      <c r="AA27" t="s">
        <v>67</v>
      </c>
      <c r="AB27">
        <f t="shared" si="0"/>
        <v>99</v>
      </c>
    </row>
    <row r="28" spans="27:28">
      <c r="AA28" t="s">
        <v>68</v>
      </c>
      <c r="AB28">
        <f t="shared" si="0"/>
        <v>103</v>
      </c>
    </row>
    <row r="29" spans="27:28">
      <c r="AA29" t="s">
        <v>69</v>
      </c>
      <c r="AB29">
        <f t="shared" si="0"/>
        <v>107</v>
      </c>
    </row>
    <row r="30" spans="27:28">
      <c r="AA30" t="s">
        <v>70</v>
      </c>
      <c r="AB30">
        <f t="shared" si="0"/>
        <v>111</v>
      </c>
    </row>
    <row r="31" spans="27:28">
      <c r="AA31"/>
    </row>
    <row r="32" spans="27:28">
      <c r="AA32"/>
    </row>
    <row r="33" spans="27:27" ht="15">
      <c r="AA33" s="20"/>
    </row>
    <row r="34" spans="27:27" ht="15">
      <c r="AA34" s="20"/>
    </row>
    <row r="35" spans="27:27" ht="15">
      <c r="AA35" s="20"/>
    </row>
    <row r="36" spans="27:27" ht="15">
      <c r="AA36" s="20"/>
    </row>
    <row r="37" spans="27:27" ht="15">
      <c r="AA37" s="20"/>
    </row>
    <row r="38" spans="27:27" ht="15">
      <c r="AA38" s="20"/>
    </row>
    <row r="39" spans="27:27" ht="15">
      <c r="AA39" s="20"/>
    </row>
    <row r="40" spans="27:27" ht="15">
      <c r="AA40" s="20"/>
    </row>
    <row r="41" spans="27:27" ht="15">
      <c r="AA41" s="20"/>
    </row>
    <row r="42" spans="27:27" ht="15">
      <c r="AA42" s="20"/>
    </row>
    <row r="43" spans="27:27" ht="15">
      <c r="AA43" s="20"/>
    </row>
    <row r="44" spans="27:27" ht="15">
      <c r="AA44" s="20"/>
    </row>
    <row r="45" spans="27:27" ht="15">
      <c r="AA45" s="20"/>
    </row>
    <row r="46" spans="27:27" ht="15">
      <c r="AA46" s="20"/>
    </row>
    <row r="47" spans="27:27" ht="15">
      <c r="AA47" s="20"/>
    </row>
    <row r="48" spans="27:27" ht="15">
      <c r="AA48" s="20"/>
    </row>
    <row r="49" spans="27:27" ht="15">
      <c r="AA49" s="20"/>
    </row>
    <row r="50" spans="27:27" ht="15">
      <c r="AA50" s="20"/>
    </row>
    <row r="51" spans="27:27" ht="15">
      <c r="AA51" s="20"/>
    </row>
    <row r="52" spans="27:27" ht="15">
      <c r="AA52" s="20"/>
    </row>
    <row r="53" spans="27:27" ht="15">
      <c r="AA53" s="20"/>
    </row>
    <row r="54" spans="27:27" ht="15">
      <c r="AA54" s="20"/>
    </row>
    <row r="55" spans="27:27" ht="15">
      <c r="AA55" s="20"/>
    </row>
    <row r="56" spans="27:27" ht="15">
      <c r="AA56" s="20"/>
    </row>
    <row r="57" spans="27:27" ht="15">
      <c r="AA57" s="20"/>
    </row>
    <row r="58" spans="27:27" ht="15">
      <c r="AA58" s="20"/>
    </row>
    <row r="59" spans="27:27" ht="15">
      <c r="AA59" s="20"/>
    </row>
    <row r="60" spans="27:27" ht="15">
      <c r="AA60" s="20"/>
    </row>
    <row r="61" spans="27:27" ht="15">
      <c r="AA61" s="20"/>
    </row>
    <row r="62" spans="27:27" ht="15">
      <c r="AA62" s="20"/>
    </row>
    <row r="63" spans="27:27" ht="15">
      <c r="AA63" s="20"/>
    </row>
    <row r="64" spans="27:27" ht="15">
      <c r="AA64" s="20"/>
    </row>
    <row r="65" spans="27:27" ht="15">
      <c r="AA65" s="20"/>
    </row>
    <row r="66" spans="27:27" ht="15">
      <c r="AA66" s="20"/>
    </row>
    <row r="67" spans="27:27" ht="15">
      <c r="AA67" s="20"/>
    </row>
    <row r="68" spans="27:27" ht="15">
      <c r="AA68" s="20"/>
    </row>
    <row r="69" spans="27:27" ht="15">
      <c r="AA69" s="20"/>
    </row>
    <row r="70" spans="27:27" ht="15">
      <c r="AA70" s="20"/>
    </row>
    <row r="71" spans="27:27" ht="15">
      <c r="AA71" s="20"/>
    </row>
    <row r="72" spans="27:27" ht="15">
      <c r="AA72" s="20"/>
    </row>
    <row r="73" spans="27:27" ht="15">
      <c r="AA73" s="20"/>
    </row>
    <row r="74" spans="27:27" ht="15">
      <c r="AA74" s="20"/>
    </row>
    <row r="75" spans="27:27" ht="15">
      <c r="AA75" s="20"/>
    </row>
    <row r="76" spans="27:27" ht="15">
      <c r="AA76" s="20"/>
    </row>
    <row r="77" spans="27:27" ht="15">
      <c r="AA77" s="20"/>
    </row>
    <row r="78" spans="27:27" ht="15">
      <c r="AA78" s="20"/>
    </row>
    <row r="79" spans="27:27" ht="15">
      <c r="AA79" s="20"/>
    </row>
    <row r="80" spans="27:27" ht="15">
      <c r="AA80" s="20"/>
    </row>
    <row r="81" spans="27:27" ht="15">
      <c r="AA81" s="20"/>
    </row>
    <row r="82" spans="27:27" ht="15">
      <c r="AA82" s="20"/>
    </row>
    <row r="83" spans="27:27" ht="15">
      <c r="AA83" s="20"/>
    </row>
    <row r="84" spans="27:27" ht="15">
      <c r="AA84" s="20"/>
    </row>
    <row r="85" spans="27:27" ht="15">
      <c r="AA85" s="20"/>
    </row>
    <row r="86" spans="27:27" ht="15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AR125"/>
  <sheetViews>
    <sheetView tabSelected="1" zoomScaleNormal="100" workbookViewId="0">
      <selection activeCell="L3" sqref="L3:R114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8" width="9.875" style="1" customWidth="1"/>
    <col min="9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6" width="9.875" style="1" customWidth="1"/>
    <col min="17" max="18" width="8.875" style="1" customWidth="1"/>
    <col min="19" max="19" width="5.25" style="1" customWidth="1"/>
    <col min="20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6" width="5.25" style="1" customWidth="1"/>
    <col min="37" max="37" width="5.125" style="1" customWidth="1"/>
    <col min="38" max="38" width="4.75" style="1" customWidth="1"/>
    <col min="39" max="44" width="8.875" style="1" customWidth="1"/>
    <col min="45" max="16384" width="10.875" style="1"/>
  </cols>
  <sheetData>
    <row r="1" spans="1:44" ht="12.75" thickBot="1">
      <c r="D1" s="116" t="s">
        <v>14</v>
      </c>
      <c r="E1" s="117"/>
      <c r="F1" s="117"/>
      <c r="G1" s="117"/>
      <c r="H1" s="117"/>
      <c r="I1" s="117"/>
      <c r="J1" s="118"/>
      <c r="L1" s="116" t="s">
        <v>15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26</v>
      </c>
      <c r="W1" s="117"/>
      <c r="X1" s="118"/>
      <c r="Y1" s="116" t="s">
        <v>27</v>
      </c>
      <c r="Z1" s="117"/>
      <c r="AA1" s="118"/>
      <c r="AC1" s="116" t="s">
        <v>39</v>
      </c>
      <c r="AD1" s="117"/>
      <c r="AE1" s="117"/>
      <c r="AF1" s="117"/>
      <c r="AG1" s="117"/>
      <c r="AH1" s="117"/>
      <c r="AI1" s="118"/>
      <c r="AJ1" s="38"/>
      <c r="AK1" s="38"/>
      <c r="AM1" s="116" t="s">
        <v>26</v>
      </c>
      <c r="AN1" s="117"/>
      <c r="AO1" s="118"/>
      <c r="AP1" s="116" t="s">
        <v>27</v>
      </c>
      <c r="AQ1" s="117"/>
      <c r="AR1" s="118"/>
    </row>
    <row r="2" spans="1:44" ht="12.75" thickBot="1">
      <c r="A2" s="58"/>
      <c r="B2" s="54"/>
      <c r="C2" s="53" t="s">
        <v>0</v>
      </c>
      <c r="D2" s="8" t="s">
        <v>16</v>
      </c>
      <c r="E2" s="9" t="s">
        <v>17</v>
      </c>
      <c r="F2" s="9" t="s">
        <v>18</v>
      </c>
      <c r="G2" s="9" t="s">
        <v>19</v>
      </c>
      <c r="H2" s="9" t="s">
        <v>20</v>
      </c>
      <c r="I2" s="9" t="s">
        <v>21</v>
      </c>
      <c r="J2" s="10" t="s">
        <v>22</v>
      </c>
      <c r="K2" s="2"/>
      <c r="L2" s="8" t="s">
        <v>16</v>
      </c>
      <c r="M2" s="9" t="s">
        <v>17</v>
      </c>
      <c r="N2" s="9" t="s">
        <v>18</v>
      </c>
      <c r="O2" s="9" t="s">
        <v>19</v>
      </c>
      <c r="P2" s="9" t="s">
        <v>20</v>
      </c>
      <c r="Q2" s="9" t="s">
        <v>21</v>
      </c>
      <c r="R2" s="10" t="s">
        <v>22</v>
      </c>
      <c r="S2" s="7" t="s">
        <v>43</v>
      </c>
      <c r="T2" s="7" t="s">
        <v>44</v>
      </c>
      <c r="U2" s="7"/>
      <c r="V2" s="8" t="s">
        <v>23</v>
      </c>
      <c r="W2" s="9" t="s">
        <v>24</v>
      </c>
      <c r="X2" s="10" t="s">
        <v>25</v>
      </c>
      <c r="Y2" s="8" t="s">
        <v>23</v>
      </c>
      <c r="Z2" s="9" t="s">
        <v>24</v>
      </c>
      <c r="AA2" s="10" t="s">
        <v>25</v>
      </c>
      <c r="AC2" s="8" t="s">
        <v>16</v>
      </c>
      <c r="AD2" s="9" t="s">
        <v>17</v>
      </c>
      <c r="AE2" s="9" t="s">
        <v>18</v>
      </c>
      <c r="AF2" s="9" t="s">
        <v>19</v>
      </c>
      <c r="AG2" s="9" t="s">
        <v>20</v>
      </c>
      <c r="AH2" s="9" t="s">
        <v>21</v>
      </c>
      <c r="AI2" s="10" t="s">
        <v>22</v>
      </c>
      <c r="AJ2" s="7" t="s">
        <v>43</v>
      </c>
      <c r="AK2" s="7" t="s">
        <v>44</v>
      </c>
      <c r="AM2" s="8" t="s">
        <v>23</v>
      </c>
      <c r="AN2" s="9" t="s">
        <v>24</v>
      </c>
      <c r="AO2" s="10" t="s">
        <v>25</v>
      </c>
      <c r="AP2" s="8" t="s">
        <v>23</v>
      </c>
      <c r="AQ2" s="9" t="s">
        <v>24</v>
      </c>
      <c r="AR2" s="10" t="s">
        <v>25</v>
      </c>
    </row>
    <row r="3" spans="1:44">
      <c r="A3" s="11" t="s">
        <v>76</v>
      </c>
      <c r="B3" s="11" t="s">
        <v>78</v>
      </c>
      <c r="C3" s="11">
        <v>22</v>
      </c>
      <c r="D3" s="12">
        <v>29173.0759183673</v>
      </c>
      <c r="E3" s="13">
        <v>40.300039455782297</v>
      </c>
      <c r="F3" s="13">
        <v>48.971645238095199</v>
      </c>
      <c r="G3" s="13">
        <v>47.146955782312901</v>
      </c>
      <c r="H3" s="13">
        <v>337439.90599999903</v>
      </c>
      <c r="I3" s="13">
        <v>340.53199999999998</v>
      </c>
      <c r="J3" s="14">
        <v>290.08567222222223</v>
      </c>
      <c r="L3" s="12"/>
      <c r="M3" s="13"/>
      <c r="N3" s="13"/>
      <c r="O3" s="13"/>
      <c r="P3" s="13"/>
      <c r="Q3" s="13"/>
      <c r="R3" s="14"/>
      <c r="S3" s="13">
        <f>P3/H3</f>
        <v>0</v>
      </c>
      <c r="T3" s="13">
        <f>Q3/I3</f>
        <v>0</v>
      </c>
      <c r="U3" s="59"/>
      <c r="V3" s="42" t="e">
        <f ca="1">bdrate($D3:$D6,E3:E6,$L3:$L6,M3:M6)</f>
        <v>#NAME?</v>
      </c>
      <c r="W3" s="47" t="e">
        <f ca="1">bdrate($D3:$D6,F3:F6,$L3:$L6,N3:N6)</f>
        <v>#NAME?</v>
      </c>
      <c r="X3" s="48" t="e">
        <f ca="1">bdrate($D3:$D6,G3:G6,$L3:$L6,O3:O6)</f>
        <v>#NAME?</v>
      </c>
      <c r="Y3" s="42" t="e">
        <f ca="1">bdrateOld($D3:$D6,E3:E6,$L3:$L6,M3:M6)</f>
        <v>#NAME?</v>
      </c>
      <c r="Z3" s="47" t="e">
        <f ca="1">bdrateOld($D3:$D6,F3:F6,$L3:$L6,N3:N6)</f>
        <v>#NAME?</v>
      </c>
      <c r="AA3" s="48" t="e">
        <f ca="1">bdrateOld($D3:$D6,G3:G6,$L3:$L6,O3:O6)</f>
        <v>#NAME?</v>
      </c>
      <c r="AB3" s="54"/>
      <c r="AC3" s="12"/>
      <c r="AD3" s="13"/>
      <c r="AE3" s="13"/>
      <c r="AF3" s="13"/>
      <c r="AG3" s="13"/>
      <c r="AH3" s="13"/>
      <c r="AI3" s="14"/>
      <c r="AJ3" s="13" t="e">
        <f>R3/AI3</f>
        <v>#DIV/0!</v>
      </c>
      <c r="AK3" s="13" t="e">
        <f>Q3/AH3</f>
        <v>#DIV/0!</v>
      </c>
      <c r="AL3" s="54"/>
      <c r="AM3" s="42" t="e">
        <f ca="1">bdrate($AC3:$AC6,AD3:AD6,$L3:$L6, M3:M6)</f>
        <v>#NAME?</v>
      </c>
      <c r="AN3" s="47" t="e">
        <f ca="1">bdrate($AC3:$AC6,AE3:AE6,$L3:$L6, N3:N6)</f>
        <v>#NAME?</v>
      </c>
      <c r="AO3" s="48" t="e">
        <f ca="1">bdrate($AC3:$AC6,AF3:AF6,$L3:$L6, O3:O6)</f>
        <v>#NAME?</v>
      </c>
      <c r="AP3" s="42" t="e">
        <f ca="1">bdrateOld($AC3:$AC6,AD3:AD6,$L3:$L6, M3:M6)</f>
        <v>#NAME?</v>
      </c>
      <c r="AQ3" s="47" t="e">
        <f ca="1">bdrateOld($AC3:$AC6,AE3:AE6,$L3:$L6, N3:N6)</f>
        <v>#NAME?</v>
      </c>
      <c r="AR3" s="48" t="e">
        <f ca="1">bdrateOld($AC3:$AC6,AF3:AF6,$L3:$L6, O3:O6)</f>
        <v>#NAME?</v>
      </c>
    </row>
    <row r="4" spans="1:44">
      <c r="A4" s="16" t="s">
        <v>51</v>
      </c>
      <c r="B4" s="16"/>
      <c r="C4" s="16">
        <v>27</v>
      </c>
      <c r="D4" s="17">
        <v>8615.2097959183593</v>
      </c>
      <c r="E4" s="18">
        <v>39.564291496598599</v>
      </c>
      <c r="F4" s="18">
        <v>48.227997278911502</v>
      </c>
      <c r="G4" s="18">
        <v>45.950673469387702</v>
      </c>
      <c r="H4" s="18">
        <v>240533.829</v>
      </c>
      <c r="I4" s="18">
        <v>301.43799999999999</v>
      </c>
      <c r="J4" s="19">
        <v>166.99021388888889</v>
      </c>
      <c r="L4" s="17"/>
      <c r="M4" s="18"/>
      <c r="N4" s="18"/>
      <c r="O4" s="18"/>
      <c r="P4" s="18"/>
      <c r="Q4" s="18"/>
      <c r="R4" s="19"/>
      <c r="S4" s="18">
        <f t="shared" ref="S4:T54" si="0">P4/H4</f>
        <v>0</v>
      </c>
      <c r="T4" s="18">
        <f t="shared" si="0"/>
        <v>0</v>
      </c>
      <c r="U4" s="60"/>
      <c r="V4" s="43"/>
      <c r="W4" s="26"/>
      <c r="X4" s="55"/>
      <c r="Y4" s="43"/>
      <c r="Z4" s="26"/>
      <c r="AA4" s="55"/>
      <c r="AB4" s="20"/>
      <c r="AC4" s="17"/>
      <c r="AD4" s="18"/>
      <c r="AE4" s="18"/>
      <c r="AF4" s="18"/>
      <c r="AG4" s="18"/>
      <c r="AH4" s="18"/>
      <c r="AI4" s="19"/>
      <c r="AJ4" s="18" t="e">
        <f t="shared" ref="AJ4:AJ83" si="1">R4/AI4</f>
        <v>#DIV/0!</v>
      </c>
      <c r="AK4" s="18" t="e">
        <f t="shared" ref="AK4:AK83" si="2">Q4/AH4</f>
        <v>#DIV/0!</v>
      </c>
      <c r="AL4" s="20"/>
      <c r="AM4" s="43"/>
      <c r="AN4" s="26"/>
      <c r="AO4" s="55"/>
      <c r="AP4" s="43"/>
      <c r="AQ4" s="26"/>
      <c r="AR4" s="55"/>
    </row>
    <row r="5" spans="1:44">
      <c r="A5" s="16"/>
      <c r="B5" s="16"/>
      <c r="C5" s="16">
        <v>32</v>
      </c>
      <c r="D5" s="17">
        <v>4397.4530612244898</v>
      </c>
      <c r="E5" s="18">
        <v>38.606889795918299</v>
      </c>
      <c r="F5" s="18">
        <v>47.375418367346903</v>
      </c>
      <c r="G5" s="18">
        <v>44.677690136054402</v>
      </c>
      <c r="H5" s="18">
        <v>200650.65700000001</v>
      </c>
      <c r="I5" s="18">
        <v>290.62599999999998</v>
      </c>
      <c r="J5" s="19">
        <v>128.01234166666666</v>
      </c>
      <c r="L5" s="17"/>
      <c r="M5" s="18"/>
      <c r="N5" s="18"/>
      <c r="O5" s="18"/>
      <c r="P5" s="18"/>
      <c r="Q5" s="18"/>
      <c r="R5" s="19"/>
      <c r="S5" s="18">
        <f t="shared" si="0"/>
        <v>0</v>
      </c>
      <c r="T5" s="18">
        <f t="shared" si="0"/>
        <v>0</v>
      </c>
      <c r="U5" s="60"/>
      <c r="V5" s="43"/>
      <c r="W5" s="26"/>
      <c r="X5" s="55"/>
      <c r="Y5" s="43"/>
      <c r="Z5" s="26"/>
      <c r="AA5" s="55"/>
      <c r="AB5" s="20"/>
      <c r="AC5" s="17"/>
      <c r="AD5" s="18"/>
      <c r="AE5" s="18"/>
      <c r="AF5" s="18"/>
      <c r="AG5" s="18"/>
      <c r="AH5" s="18"/>
      <c r="AI5" s="19"/>
      <c r="AJ5" s="18" t="e">
        <f t="shared" si="1"/>
        <v>#DIV/0!</v>
      </c>
      <c r="AK5" s="18" t="e">
        <f t="shared" si="2"/>
        <v>#DIV/0!</v>
      </c>
      <c r="AL5" s="20"/>
      <c r="AM5" s="43"/>
      <c r="AN5" s="26"/>
      <c r="AO5" s="55"/>
      <c r="AP5" s="43"/>
      <c r="AQ5" s="26"/>
      <c r="AR5" s="55"/>
    </row>
    <row r="6" spans="1:44" ht="12.75" thickBot="1">
      <c r="A6" s="16"/>
      <c r="B6" s="21"/>
      <c r="C6" s="21">
        <v>37</v>
      </c>
      <c r="D6" s="22" t="s">
        <v>1439</v>
      </c>
      <c r="E6" s="23"/>
      <c r="F6" s="23"/>
      <c r="G6" s="23"/>
      <c r="H6" s="23"/>
      <c r="I6" s="23"/>
      <c r="J6" s="24">
        <v>99.342550000000003</v>
      </c>
      <c r="L6" s="22"/>
      <c r="M6" s="23"/>
      <c r="N6" s="23"/>
      <c r="O6" s="23"/>
      <c r="P6" s="23"/>
      <c r="Q6" s="23"/>
      <c r="R6" s="24"/>
      <c r="S6" s="18" t="e">
        <f t="shared" si="0"/>
        <v>#DIV/0!</v>
      </c>
      <c r="T6" s="18" t="e">
        <f t="shared" si="0"/>
        <v>#DIV/0!</v>
      </c>
      <c r="U6" s="60"/>
      <c r="V6" s="44"/>
      <c r="W6" s="56"/>
      <c r="X6" s="57"/>
      <c r="Y6" s="44"/>
      <c r="Z6" s="56"/>
      <c r="AA6" s="57"/>
      <c r="AB6" s="20"/>
      <c r="AC6" s="22"/>
      <c r="AD6" s="23"/>
      <c r="AE6" s="23"/>
      <c r="AF6" s="23"/>
      <c r="AG6" s="23"/>
      <c r="AH6" s="23"/>
      <c r="AI6" s="24"/>
      <c r="AJ6" s="18" t="e">
        <f t="shared" si="1"/>
        <v>#DIV/0!</v>
      </c>
      <c r="AK6" s="18" t="e">
        <f t="shared" si="2"/>
        <v>#DIV/0!</v>
      </c>
      <c r="AL6" s="20"/>
      <c r="AM6" s="44"/>
      <c r="AN6" s="56"/>
      <c r="AO6" s="57"/>
      <c r="AP6" s="44"/>
      <c r="AQ6" s="56"/>
      <c r="AR6" s="57"/>
    </row>
    <row r="7" spans="1:44">
      <c r="A7" s="16"/>
      <c r="B7" s="11" t="s">
        <v>79</v>
      </c>
      <c r="C7" s="11">
        <v>22</v>
      </c>
      <c r="D7" s="12" t="s">
        <v>1439</v>
      </c>
      <c r="E7" s="13"/>
      <c r="F7" s="13"/>
      <c r="G7" s="13"/>
      <c r="H7" s="13"/>
      <c r="I7" s="13"/>
      <c r="J7" s="14">
        <f t="shared" ref="J7" si="3">H7/3600</f>
        <v>0</v>
      </c>
      <c r="L7" s="12"/>
      <c r="M7" s="13"/>
      <c r="N7" s="13"/>
      <c r="O7" s="13"/>
      <c r="P7" s="13"/>
      <c r="Q7" s="13"/>
      <c r="R7" s="14"/>
      <c r="S7" s="18" t="e">
        <f t="shared" si="0"/>
        <v>#DIV/0!</v>
      </c>
      <c r="T7" s="18" t="e">
        <f t="shared" si="0"/>
        <v>#DIV/0!</v>
      </c>
      <c r="U7" s="60"/>
      <c r="V7" s="42" t="e">
        <f ca="1">bdrate($D7:$D10,E7:E10,$L7:$L10,M7:M10)</f>
        <v>#NAME?</v>
      </c>
      <c r="W7" s="47" t="e">
        <f ca="1">bdrate($D7:$D10,F7:F10,$L7:$L10,N7:N10)</f>
        <v>#NAME?</v>
      </c>
      <c r="X7" s="47" t="e">
        <f ca="1">bdrate($D7:$D10,G7:G10,$L7:$L10,O7:O10)</f>
        <v>#NAME?</v>
      </c>
      <c r="Y7" s="45" t="e">
        <f ca="1">bdrateOld($D7:$D10,E7:E10,$L7:$L10,M7:M10)</f>
        <v>#NAME?</v>
      </c>
      <c r="Z7" s="49" t="e">
        <f ca="1">bdrateOld($D7:$D10,F7:F10,$L7:$L10,N7:N10)</f>
        <v>#NAME?</v>
      </c>
      <c r="AA7" s="50" t="e">
        <f ca="1">bdrateOld($D7:$D10,G7:G10,$L7:$L10,O7:O10)</f>
        <v>#NAME?</v>
      </c>
      <c r="AB7" s="20"/>
      <c r="AC7" s="12"/>
      <c r="AD7" s="13"/>
      <c r="AE7" s="13"/>
      <c r="AF7" s="13"/>
      <c r="AG7" s="13"/>
      <c r="AH7" s="13"/>
      <c r="AI7" s="14"/>
      <c r="AJ7" s="18" t="e">
        <f t="shared" si="1"/>
        <v>#DIV/0!</v>
      </c>
      <c r="AK7" s="18" t="e">
        <f t="shared" si="2"/>
        <v>#DIV/0!</v>
      </c>
      <c r="AL7" s="20"/>
      <c r="AM7" s="42" t="e">
        <f ca="1">bdrate($AC7:$AC10,AD7:AD10,$L7:$L10, M7:M10)</f>
        <v>#NAME?</v>
      </c>
      <c r="AN7" s="47" t="e">
        <f ca="1">bdrate($AC7:$AC10,AE7:AE10,$L7:$L10, N7:N10)</f>
        <v>#NAME?</v>
      </c>
      <c r="AO7" s="48" t="e">
        <f ca="1">bdrate($AC7:$AC10,AF7:AF10,$L7:$L10, O7:O10)</f>
        <v>#NAME?</v>
      </c>
      <c r="AP7" s="42" t="e">
        <f ca="1">bdrateOld($AC7:$AC10,AD7:AD10,$L7:$L10, M7:M10)</f>
        <v>#NAME?</v>
      </c>
      <c r="AQ7" s="47" t="e">
        <f ca="1">bdrateOld($AC7:$AC10,AE7:AE10,$L7:$L10, N7:N10)</f>
        <v>#NAME?</v>
      </c>
      <c r="AR7" s="48" t="e">
        <f ca="1">bdrateOld($AC7:$AC10,AF7:AF10,$L7:$L10, O7:O10)</f>
        <v>#NAME?</v>
      </c>
    </row>
    <row r="8" spans="1:44">
      <c r="A8" s="16"/>
      <c r="B8" s="16"/>
      <c r="C8" s="16">
        <v>27</v>
      </c>
      <c r="D8" s="17">
        <v>18268.578666666599</v>
      </c>
      <c r="E8" s="18">
        <v>29.328016999999999</v>
      </c>
      <c r="F8" s="18">
        <v>31.917877999999899</v>
      </c>
      <c r="G8" s="18">
        <v>30.5999433333333</v>
      </c>
      <c r="H8" s="18">
        <v>144737.00099999999</v>
      </c>
      <c r="I8" s="18">
        <v>210.09399999999999</v>
      </c>
      <c r="J8" s="19">
        <v>135.00078055555556</v>
      </c>
      <c r="L8" s="17"/>
      <c r="M8" s="18"/>
      <c r="N8" s="18"/>
      <c r="O8" s="18"/>
      <c r="P8" s="18"/>
      <c r="Q8" s="18"/>
      <c r="R8" s="19"/>
      <c r="S8" s="18">
        <f t="shared" si="0"/>
        <v>0</v>
      </c>
      <c r="T8" s="18">
        <f t="shared" si="0"/>
        <v>0</v>
      </c>
      <c r="U8" s="60"/>
      <c r="V8" s="43"/>
      <c r="W8" s="26"/>
      <c r="X8" s="26"/>
      <c r="Y8" s="43"/>
      <c r="Z8" s="26"/>
      <c r="AA8" s="55"/>
      <c r="AB8" s="20"/>
      <c r="AC8" s="17"/>
      <c r="AD8" s="18"/>
      <c r="AE8" s="18"/>
      <c r="AF8" s="18"/>
      <c r="AG8" s="18"/>
      <c r="AH8" s="18"/>
      <c r="AI8" s="19"/>
      <c r="AJ8" s="18" t="e">
        <f t="shared" si="1"/>
        <v>#DIV/0!</v>
      </c>
      <c r="AK8" s="18" t="e">
        <f t="shared" si="2"/>
        <v>#DIV/0!</v>
      </c>
      <c r="AL8" s="20"/>
      <c r="AM8" s="43"/>
      <c r="AN8" s="26"/>
      <c r="AO8" s="55"/>
      <c r="AP8" s="43"/>
      <c r="AQ8" s="26"/>
      <c r="AR8" s="55"/>
    </row>
    <row r="9" spans="1:44">
      <c r="A9" s="16"/>
      <c r="B9" s="16"/>
      <c r="C9" s="16">
        <v>32</v>
      </c>
      <c r="D9" s="17">
        <v>10175.784</v>
      </c>
      <c r="E9" s="18">
        <v>37.489910333333299</v>
      </c>
      <c r="F9" s="18">
        <v>41.743303333333301</v>
      </c>
      <c r="G9" s="18">
        <v>40.082923999999998</v>
      </c>
      <c r="H9" s="18">
        <v>162224.39199999999</v>
      </c>
      <c r="I9" s="18">
        <v>271.45399999999898</v>
      </c>
      <c r="J9" s="19">
        <v>103.65906944444446</v>
      </c>
      <c r="L9" s="17"/>
      <c r="M9" s="18"/>
      <c r="N9" s="18"/>
      <c r="O9" s="18"/>
      <c r="P9" s="18"/>
      <c r="Q9" s="18"/>
      <c r="R9" s="19"/>
      <c r="S9" s="18">
        <f t="shared" si="0"/>
        <v>0</v>
      </c>
      <c r="T9" s="18">
        <f t="shared" si="0"/>
        <v>0</v>
      </c>
      <c r="U9" s="60"/>
      <c r="V9" s="43"/>
      <c r="W9" s="26"/>
      <c r="X9" s="26"/>
      <c r="Y9" s="43"/>
      <c r="Z9" s="26"/>
      <c r="AA9" s="55"/>
      <c r="AB9" s="20"/>
      <c r="AC9" s="17"/>
      <c r="AD9" s="18"/>
      <c r="AE9" s="18"/>
      <c r="AF9" s="18"/>
      <c r="AG9" s="18"/>
      <c r="AH9" s="18"/>
      <c r="AI9" s="19"/>
      <c r="AJ9" s="18" t="e">
        <f t="shared" si="1"/>
        <v>#DIV/0!</v>
      </c>
      <c r="AK9" s="18" t="e">
        <f t="shared" si="2"/>
        <v>#DIV/0!</v>
      </c>
      <c r="AL9" s="20"/>
      <c r="AM9" s="43"/>
      <c r="AN9" s="26"/>
      <c r="AO9" s="55"/>
      <c r="AP9" s="43"/>
      <c r="AQ9" s="26"/>
      <c r="AR9" s="55"/>
    </row>
    <row r="10" spans="1:44" ht="12.75" thickBot="1">
      <c r="A10" s="16"/>
      <c r="B10" s="21"/>
      <c r="C10" s="21">
        <v>37</v>
      </c>
      <c r="D10" s="22">
        <v>5144.65333333333</v>
      </c>
      <c r="E10" s="23">
        <v>35.388313999999902</v>
      </c>
      <c r="F10" s="23">
        <v>40.788672999999903</v>
      </c>
      <c r="G10" s="23">
        <v>39.2387673333333</v>
      </c>
      <c r="H10" s="23">
        <v>134930.98300000001</v>
      </c>
      <c r="I10" s="23">
        <v>265.04700000000003</v>
      </c>
      <c r="J10" s="24">
        <v>80.479219444444439</v>
      </c>
      <c r="L10" s="22"/>
      <c r="M10" s="23"/>
      <c r="N10" s="23"/>
      <c r="O10" s="23"/>
      <c r="P10" s="23"/>
      <c r="Q10" s="23"/>
      <c r="R10" s="24"/>
      <c r="S10" s="18">
        <f t="shared" si="0"/>
        <v>0</v>
      </c>
      <c r="T10" s="18">
        <f t="shared" si="0"/>
        <v>0</v>
      </c>
      <c r="U10" s="60"/>
      <c r="V10" s="44"/>
      <c r="W10" s="56"/>
      <c r="X10" s="56"/>
      <c r="Y10" s="44"/>
      <c r="Z10" s="56"/>
      <c r="AA10" s="57"/>
      <c r="AB10" s="20"/>
      <c r="AC10" s="22"/>
      <c r="AD10" s="23"/>
      <c r="AE10" s="23"/>
      <c r="AF10" s="23"/>
      <c r="AG10" s="23"/>
      <c r="AH10" s="23"/>
      <c r="AI10" s="24"/>
      <c r="AJ10" s="18" t="e">
        <f t="shared" si="1"/>
        <v>#DIV/0!</v>
      </c>
      <c r="AK10" s="18" t="e">
        <f t="shared" si="2"/>
        <v>#DIV/0!</v>
      </c>
      <c r="AL10" s="20"/>
      <c r="AM10" s="44"/>
      <c r="AN10" s="56"/>
      <c r="AO10" s="57"/>
      <c r="AP10" s="44"/>
      <c r="AQ10" s="56"/>
      <c r="AR10" s="57"/>
    </row>
    <row r="11" spans="1:44">
      <c r="A11" s="36"/>
      <c r="B11" s="35" t="s">
        <v>80</v>
      </c>
      <c r="C11" s="35">
        <v>22</v>
      </c>
      <c r="D11" s="12">
        <v>50656.398399999998</v>
      </c>
      <c r="E11" s="13">
        <v>39.000257999999903</v>
      </c>
      <c r="F11" s="13">
        <v>41.995546666666598</v>
      </c>
      <c r="G11" s="13">
        <v>43.023321666666597</v>
      </c>
      <c r="H11" s="13">
        <v>441609.90700000001</v>
      </c>
      <c r="I11" s="13">
        <v>390.48399999999901</v>
      </c>
      <c r="J11" s="14">
        <v>403.54381944444447</v>
      </c>
      <c r="L11" s="12"/>
      <c r="M11" s="13"/>
      <c r="N11" s="13"/>
      <c r="O11" s="13"/>
      <c r="P11" s="13"/>
      <c r="Q11" s="13"/>
      <c r="R11" s="14"/>
      <c r="S11" s="18">
        <f t="shared" si="0"/>
        <v>0</v>
      </c>
      <c r="T11" s="18">
        <f t="shared" si="0"/>
        <v>0</v>
      </c>
      <c r="U11" s="60"/>
      <c r="V11" s="42" t="e">
        <f ca="1">bdrate($D11:$D14,E11:E14,$L11:$L14,M11:M14)</f>
        <v>#NAME?</v>
      </c>
      <c r="W11" s="47" t="e">
        <f ca="1">bdrate($D11:$D14,F11:F14,$L11:$L14,N11:N14)</f>
        <v>#NAME?</v>
      </c>
      <c r="X11" s="47" t="e">
        <f ca="1">bdrate($D11:$D14,G11:G14,$L11:$L14,O11:O14)</f>
        <v>#NAME?</v>
      </c>
      <c r="Y11" s="45" t="e">
        <f ca="1">bdrateOld($D11:$D14,E11:E14,$L11:$L14,M11:M14)</f>
        <v>#NAME?</v>
      </c>
      <c r="Z11" s="49" t="e">
        <f ca="1">bdrateOld($D11:$D14,F11:F14,$L11:$L14,N11:N14)</f>
        <v>#NAME?</v>
      </c>
      <c r="AA11" s="50" t="e">
        <f ca="1">bdrateOld($D11:$D14,G11:G14,$L11:$L14,O11:O14)</f>
        <v>#NAME?</v>
      </c>
      <c r="AB11" s="20"/>
      <c r="AC11" s="12"/>
      <c r="AD11" s="13"/>
      <c r="AE11" s="13"/>
      <c r="AF11" s="13"/>
      <c r="AG11" s="13"/>
      <c r="AH11" s="13"/>
      <c r="AI11" s="14"/>
      <c r="AJ11" s="18" t="e">
        <f t="shared" si="1"/>
        <v>#DIV/0!</v>
      </c>
      <c r="AK11" s="18" t="e">
        <f t="shared" si="2"/>
        <v>#DIV/0!</v>
      </c>
      <c r="AL11" s="20"/>
      <c r="AM11" s="42" t="e">
        <f ca="1">bdrate($AC11:$AC14,AD11:AD14,$L11:$L14, M11:M14)</f>
        <v>#NAME?</v>
      </c>
      <c r="AN11" s="47" t="e">
        <f ca="1">bdrate($AC11:$AC14,AE11:AE14,$L11:$L14, N11:N14)</f>
        <v>#NAME?</v>
      </c>
      <c r="AO11" s="48" t="e">
        <f ca="1">bdrate($AC11:$AC14,AF11:AF14,$L11:$L14, O11:O14)</f>
        <v>#NAME?</v>
      </c>
      <c r="AP11" s="42" t="e">
        <f ca="1">bdrateOld($AC11:$AC14,AD11:AD14,$L11:$L14, M11:M14)</f>
        <v>#NAME?</v>
      </c>
      <c r="AQ11" s="47" t="e">
        <f ca="1">bdrateOld($AC11:$AC14,AE11:AE14,$L11:$L14, N11:N14)</f>
        <v>#NAME?</v>
      </c>
      <c r="AR11" s="48" t="e">
        <f ca="1">bdrateOld($AC11:$AC14,AF11:AF14,$L11:$L14, O11:O14)</f>
        <v>#NAME?</v>
      </c>
    </row>
    <row r="12" spans="1:44">
      <c r="A12" s="36"/>
      <c r="B12" s="36"/>
      <c r="C12" s="36">
        <v>27</v>
      </c>
      <c r="D12" s="17">
        <v>16394.618399999999</v>
      </c>
      <c r="E12" s="18">
        <v>37.477022666666599</v>
      </c>
      <c r="F12" s="18">
        <v>39.070489999999999</v>
      </c>
      <c r="G12" s="18">
        <v>41.451619333333298</v>
      </c>
      <c r="H12" s="18">
        <v>312724.51799999998</v>
      </c>
      <c r="I12" s="18">
        <v>288.74900000000002</v>
      </c>
      <c r="J12" s="19">
        <v>245.69490277777777</v>
      </c>
      <c r="L12" s="17"/>
      <c r="M12" s="18"/>
      <c r="N12" s="18"/>
      <c r="O12" s="18"/>
      <c r="P12" s="18"/>
      <c r="Q12" s="18"/>
      <c r="R12" s="19"/>
      <c r="S12" s="18">
        <f t="shared" si="0"/>
        <v>0</v>
      </c>
      <c r="T12" s="18">
        <f t="shared" si="0"/>
        <v>0</v>
      </c>
      <c r="U12" s="60"/>
      <c r="V12" s="43"/>
      <c r="W12" s="26"/>
      <c r="X12" s="26"/>
      <c r="Y12" s="43"/>
      <c r="Z12" s="26"/>
      <c r="AA12" s="55"/>
      <c r="AB12" s="20"/>
      <c r="AC12" s="17"/>
      <c r="AD12" s="18"/>
      <c r="AE12" s="18"/>
      <c r="AF12" s="18"/>
      <c r="AG12" s="18"/>
      <c r="AH12" s="18"/>
      <c r="AI12" s="19"/>
      <c r="AJ12" s="18" t="e">
        <f t="shared" si="1"/>
        <v>#DIV/0!</v>
      </c>
      <c r="AK12" s="18" t="e">
        <f t="shared" si="2"/>
        <v>#DIV/0!</v>
      </c>
      <c r="AL12" s="20"/>
      <c r="AM12" s="43"/>
      <c r="AN12" s="26"/>
      <c r="AO12" s="55"/>
      <c r="AP12" s="43"/>
      <c r="AQ12" s="26"/>
      <c r="AR12" s="55"/>
    </row>
    <row r="13" spans="1:44">
      <c r="A13" s="36"/>
      <c r="B13" s="36"/>
      <c r="C13" s="36">
        <v>32</v>
      </c>
      <c r="D13" s="17">
        <v>8325.9143999999997</v>
      </c>
      <c r="E13" s="18">
        <v>36.306516999999999</v>
      </c>
      <c r="F13" s="18">
        <v>37.2412346666666</v>
      </c>
      <c r="G13" s="18">
        <v>40.2151</v>
      </c>
      <c r="H13" s="18">
        <v>266556.29899999901</v>
      </c>
      <c r="I13" s="18">
        <v>247.26499999999999</v>
      </c>
      <c r="J13" s="19">
        <v>190.57448888888891</v>
      </c>
      <c r="L13" s="17"/>
      <c r="M13" s="18"/>
      <c r="N13" s="18"/>
      <c r="O13" s="18"/>
      <c r="P13" s="18"/>
      <c r="Q13" s="18"/>
      <c r="R13" s="19"/>
      <c r="S13" s="18">
        <f t="shared" si="0"/>
        <v>0</v>
      </c>
      <c r="T13" s="18">
        <f t="shared" si="0"/>
        <v>0</v>
      </c>
      <c r="U13" s="60"/>
      <c r="V13" s="43"/>
      <c r="W13" s="26"/>
      <c r="X13" s="26"/>
      <c r="Y13" s="43"/>
      <c r="Z13" s="26"/>
      <c r="AA13" s="55"/>
      <c r="AB13" s="20"/>
      <c r="AC13" s="17"/>
      <c r="AD13" s="18"/>
      <c r="AE13" s="18"/>
      <c r="AF13" s="18"/>
      <c r="AG13" s="18"/>
      <c r="AH13" s="18"/>
      <c r="AI13" s="19"/>
      <c r="AJ13" s="18" t="e">
        <f t="shared" si="1"/>
        <v>#DIV/0!</v>
      </c>
      <c r="AK13" s="18" t="e">
        <f t="shared" si="2"/>
        <v>#DIV/0!</v>
      </c>
      <c r="AL13" s="20"/>
      <c r="AM13" s="43"/>
      <c r="AN13" s="26"/>
      <c r="AO13" s="55"/>
      <c r="AP13" s="43"/>
      <c r="AQ13" s="26"/>
      <c r="AR13" s="55"/>
    </row>
    <row r="14" spans="1:44" ht="12.75" thickBot="1">
      <c r="A14" s="36"/>
      <c r="B14" s="37"/>
      <c r="C14" s="37">
        <v>37</v>
      </c>
      <c r="D14" s="22">
        <v>4423.1295999999902</v>
      </c>
      <c r="E14" s="23">
        <v>34.861505000000001</v>
      </c>
      <c r="F14" s="23">
        <v>35.057732333333298</v>
      </c>
      <c r="G14" s="23">
        <v>38.689619333333297</v>
      </c>
      <c r="H14" s="23">
        <v>219805.83</v>
      </c>
      <c r="I14" s="23">
        <v>230.84399999999999</v>
      </c>
      <c r="J14" s="24">
        <v>148.70921944444444</v>
      </c>
      <c r="L14" s="22"/>
      <c r="M14" s="23"/>
      <c r="N14" s="23"/>
      <c r="O14" s="23"/>
      <c r="P14" s="23"/>
      <c r="Q14" s="23"/>
      <c r="R14" s="24"/>
      <c r="S14" s="18">
        <f t="shared" si="0"/>
        <v>0</v>
      </c>
      <c r="T14" s="18">
        <f t="shared" si="0"/>
        <v>0</v>
      </c>
      <c r="U14" s="60"/>
      <c r="V14" s="44"/>
      <c r="W14" s="56"/>
      <c r="X14" s="56"/>
      <c r="Y14" s="44"/>
      <c r="Z14" s="56"/>
      <c r="AA14" s="57"/>
      <c r="AB14" s="20"/>
      <c r="AC14" s="22"/>
      <c r="AD14" s="23"/>
      <c r="AE14" s="23"/>
      <c r="AF14" s="23"/>
      <c r="AG14" s="23"/>
      <c r="AH14" s="23"/>
      <c r="AI14" s="24"/>
      <c r="AJ14" s="18" t="e">
        <f t="shared" si="1"/>
        <v>#DIV/0!</v>
      </c>
      <c r="AK14" s="18" t="e">
        <f t="shared" si="2"/>
        <v>#DIV/0!</v>
      </c>
      <c r="AL14" s="20"/>
      <c r="AM14" s="44"/>
      <c r="AN14" s="56"/>
      <c r="AO14" s="57"/>
      <c r="AP14" s="44"/>
      <c r="AQ14" s="56"/>
      <c r="AR14" s="57"/>
    </row>
    <row r="15" spans="1:44">
      <c r="A15" s="36"/>
      <c r="B15" s="35" t="s">
        <v>81</v>
      </c>
      <c r="C15" s="35">
        <v>22</v>
      </c>
      <c r="D15" s="12">
        <v>211765.432</v>
      </c>
      <c r="E15" s="13">
        <v>40.111084999999903</v>
      </c>
      <c r="F15" s="13">
        <v>45.573371000000002</v>
      </c>
      <c r="G15" s="13">
        <v>41.662932333333302</v>
      </c>
      <c r="H15" s="13">
        <v>721623</v>
      </c>
      <c r="I15" s="13">
        <v>521.5</v>
      </c>
      <c r="J15" s="14">
        <v>572.95805277777777</v>
      </c>
      <c r="L15" s="12"/>
      <c r="M15" s="13"/>
      <c r="N15" s="13"/>
      <c r="O15" s="13"/>
      <c r="P15" s="13"/>
      <c r="Q15" s="13"/>
      <c r="R15" s="14"/>
      <c r="S15" s="18">
        <f t="shared" si="0"/>
        <v>0</v>
      </c>
      <c r="T15" s="18">
        <f t="shared" si="0"/>
        <v>0</v>
      </c>
      <c r="U15" s="60"/>
      <c r="V15" s="42" t="e">
        <f ca="1">bdrate($D15:$D18,E15:E18,$L15:$L18,M15:M18)</f>
        <v>#NAME?</v>
      </c>
      <c r="W15" s="47" t="e">
        <f ca="1">bdrate($D15:$D18,F15:F18,$L15:$L18,N15:N18)</f>
        <v>#NAME?</v>
      </c>
      <c r="X15" s="47" t="e">
        <f ca="1">bdrate($D15:$D18,G15:G18,$L15:$L18,O15:O18)</f>
        <v>#NAME?</v>
      </c>
      <c r="Y15" s="45" t="e">
        <f ca="1">bdrateOld($D15:$D18,E15:E18,$L15:$L18,M15:M18)</f>
        <v>#NAME?</v>
      </c>
      <c r="Z15" s="49" t="e">
        <f ca="1">bdrateOld($D15:$D18,F15:F18,$L15:$L18,N15:N18)</f>
        <v>#NAME?</v>
      </c>
      <c r="AA15" s="50" t="e">
        <f ca="1">bdrateOld($D15:$D18,G15:G18,$L15:$L18,O15:O18)</f>
        <v>#NAME?</v>
      </c>
      <c r="AB15" s="20"/>
      <c r="AC15" s="12"/>
      <c r="AD15" s="13"/>
      <c r="AE15" s="13"/>
      <c r="AF15" s="13"/>
      <c r="AG15" s="13"/>
      <c r="AH15" s="13"/>
      <c r="AI15" s="14"/>
      <c r="AJ15" s="18" t="e">
        <f t="shared" si="1"/>
        <v>#DIV/0!</v>
      </c>
      <c r="AK15" s="18" t="e">
        <f t="shared" si="2"/>
        <v>#DIV/0!</v>
      </c>
      <c r="AL15" s="20"/>
      <c r="AM15" s="42" t="e">
        <f ca="1">bdrate($AC15:$AC18,AD15:AD18,$L15:$L18, M15:M18)</f>
        <v>#NAME?</v>
      </c>
      <c r="AN15" s="47" t="e">
        <f ca="1">bdrate($AC15:$AC18,AE15:AE18,$L15:$L18, N15:N18)</f>
        <v>#NAME?</v>
      </c>
      <c r="AO15" s="48" t="e">
        <f ca="1">bdrate($AC15:$AC18,AF15:AF18,$L15:$L18, O15:O18)</f>
        <v>#NAME?</v>
      </c>
      <c r="AP15" s="42" t="e">
        <f ca="1">bdrateOld($AC15:$AC18,AD15:AD18,$L15:$L18, M15:M18)</f>
        <v>#NAME?</v>
      </c>
      <c r="AQ15" s="47" t="e">
        <f ca="1">bdrateOld($AC15:$AC18,AE15:AE18,$L15:$L18, N15:N18)</f>
        <v>#NAME?</v>
      </c>
      <c r="AR15" s="48" t="e">
        <f ca="1">bdrateOld($AC15:$AC18,AF15:AF18,$L15:$L18, O15:O18)</f>
        <v>#NAME?</v>
      </c>
    </row>
    <row r="16" spans="1:44">
      <c r="A16" s="36"/>
      <c r="B16" s="36"/>
      <c r="C16" s="36">
        <v>27</v>
      </c>
      <c r="D16" s="17">
        <v>93432.736000000004</v>
      </c>
      <c r="E16" s="18">
        <v>36.024453666666602</v>
      </c>
      <c r="F16" s="18">
        <v>44.450348666666599</v>
      </c>
      <c r="G16" s="18">
        <v>40.220939999999999</v>
      </c>
      <c r="H16" s="18">
        <v>541988.26599999995</v>
      </c>
      <c r="I16" s="18">
        <v>410.93599999999998</v>
      </c>
      <c r="J16" s="19">
        <f t="shared" ref="J16" si="4">H16/3600</f>
        <v>150.5522961111111</v>
      </c>
      <c r="L16" s="17"/>
      <c r="M16" s="18"/>
      <c r="N16" s="18"/>
      <c r="O16" s="18"/>
      <c r="P16" s="18"/>
      <c r="Q16" s="18"/>
      <c r="R16" s="19"/>
      <c r="S16" s="18">
        <f t="shared" si="0"/>
        <v>0</v>
      </c>
      <c r="T16" s="18">
        <f t="shared" si="0"/>
        <v>0</v>
      </c>
      <c r="U16" s="60"/>
      <c r="V16" s="43"/>
      <c r="W16" s="26"/>
      <c r="X16" s="26"/>
      <c r="Y16" s="43"/>
      <c r="Z16" s="26"/>
      <c r="AA16" s="55"/>
      <c r="AB16" s="20"/>
      <c r="AC16" s="17"/>
      <c r="AD16" s="18"/>
      <c r="AE16" s="18"/>
      <c r="AF16" s="18"/>
      <c r="AG16" s="18"/>
      <c r="AH16" s="18"/>
      <c r="AI16" s="19"/>
      <c r="AJ16" s="18" t="e">
        <f t="shared" si="1"/>
        <v>#DIV/0!</v>
      </c>
      <c r="AK16" s="18" t="e">
        <f t="shared" si="2"/>
        <v>#DIV/0!</v>
      </c>
      <c r="AL16" s="20"/>
      <c r="AM16" s="43"/>
      <c r="AN16" s="26"/>
      <c r="AO16" s="55"/>
      <c r="AP16" s="43"/>
      <c r="AQ16" s="26"/>
      <c r="AR16" s="55"/>
    </row>
    <row r="17" spans="1:44">
      <c r="A17" s="36"/>
      <c r="B17" s="36"/>
      <c r="C17" s="36">
        <v>32</v>
      </c>
      <c r="D17" s="17" t="s">
        <v>1439</v>
      </c>
      <c r="E17" s="18"/>
      <c r="F17" s="18"/>
      <c r="G17" s="18"/>
      <c r="H17" s="18"/>
      <c r="I17" s="18"/>
      <c r="J17" s="19">
        <v>356.34820277777777</v>
      </c>
      <c r="L17" s="17"/>
      <c r="M17" s="18"/>
      <c r="N17" s="18"/>
      <c r="O17" s="18"/>
      <c r="P17" s="18"/>
      <c r="Q17" s="18"/>
      <c r="R17" s="19"/>
      <c r="S17" s="18" t="e">
        <f t="shared" si="0"/>
        <v>#DIV/0!</v>
      </c>
      <c r="T17" s="18" t="e">
        <f t="shared" si="0"/>
        <v>#DIV/0!</v>
      </c>
      <c r="U17" s="60"/>
      <c r="V17" s="43"/>
      <c r="W17" s="26"/>
      <c r="X17" s="26"/>
      <c r="Y17" s="43"/>
      <c r="Z17" s="26"/>
      <c r="AA17" s="55"/>
      <c r="AB17" s="20"/>
      <c r="AC17" s="17"/>
      <c r="AD17" s="18"/>
      <c r="AE17" s="18"/>
      <c r="AF17" s="18"/>
      <c r="AG17" s="18"/>
      <c r="AH17" s="18"/>
      <c r="AI17" s="19"/>
      <c r="AJ17" s="18" t="e">
        <f t="shared" si="1"/>
        <v>#DIV/0!</v>
      </c>
      <c r="AK17" s="18" t="e">
        <f t="shared" si="2"/>
        <v>#DIV/0!</v>
      </c>
      <c r="AL17" s="20"/>
      <c r="AM17" s="43"/>
      <c r="AN17" s="26"/>
      <c r="AO17" s="55"/>
      <c r="AP17" s="43"/>
      <c r="AQ17" s="26"/>
      <c r="AR17" s="55"/>
    </row>
    <row r="18" spans="1:44" ht="12.75" thickBot="1">
      <c r="A18" s="37"/>
      <c r="B18" s="37"/>
      <c r="C18" s="37">
        <v>37</v>
      </c>
      <c r="D18" s="22" t="s">
        <v>1439</v>
      </c>
      <c r="E18" s="23"/>
      <c r="F18" s="23"/>
      <c r="G18" s="23"/>
      <c r="H18" s="23"/>
      <c r="I18" s="23"/>
      <c r="J18" s="24">
        <v>268.86456666666663</v>
      </c>
      <c r="L18" s="22"/>
      <c r="M18" s="23"/>
      <c r="N18" s="23"/>
      <c r="O18" s="23"/>
      <c r="P18" s="23"/>
      <c r="Q18" s="23"/>
      <c r="R18" s="24"/>
      <c r="S18" s="23" t="e">
        <f t="shared" si="0"/>
        <v>#DIV/0!</v>
      </c>
      <c r="T18" s="23" t="e">
        <f t="shared" si="0"/>
        <v>#DIV/0!</v>
      </c>
      <c r="U18" s="61"/>
      <c r="V18" s="44"/>
      <c r="W18" s="56"/>
      <c r="X18" s="56"/>
      <c r="Y18" s="44"/>
      <c r="Z18" s="56"/>
      <c r="AA18" s="57"/>
      <c r="AB18" s="25"/>
      <c r="AC18" s="22"/>
      <c r="AD18" s="23"/>
      <c r="AE18" s="23"/>
      <c r="AF18" s="23"/>
      <c r="AG18" s="23"/>
      <c r="AH18" s="23"/>
      <c r="AI18" s="24"/>
      <c r="AJ18" s="23" t="e">
        <f t="shared" si="1"/>
        <v>#DIV/0!</v>
      </c>
      <c r="AK18" s="23" t="e">
        <f t="shared" si="2"/>
        <v>#DIV/0!</v>
      </c>
      <c r="AL18" s="25"/>
      <c r="AM18" s="44"/>
      <c r="AN18" s="56"/>
      <c r="AO18" s="57"/>
      <c r="AP18" s="44"/>
      <c r="AQ18" s="56"/>
      <c r="AR18" s="57"/>
    </row>
    <row r="19" spans="1:44">
      <c r="A19" s="11" t="s">
        <v>77</v>
      </c>
      <c r="B19" s="11" t="s">
        <v>82</v>
      </c>
      <c r="C19" s="11">
        <v>22</v>
      </c>
      <c r="D19" s="12">
        <v>33663.153599999998</v>
      </c>
      <c r="E19" s="13">
        <v>40.313407333333302</v>
      </c>
      <c r="F19" s="13">
        <v>41.745347000000002</v>
      </c>
      <c r="G19" s="13">
        <v>43.279367333333298</v>
      </c>
      <c r="H19" s="13">
        <v>223634.53199999899</v>
      </c>
      <c r="I19" s="13">
        <v>318.142</v>
      </c>
      <c r="J19" s="14">
        <v>187.06935833333333</v>
      </c>
      <c r="L19" s="12"/>
      <c r="M19" s="13"/>
      <c r="N19" s="13"/>
      <c r="O19" s="13"/>
      <c r="P19" s="13"/>
      <c r="Q19" s="13"/>
      <c r="R19" s="14"/>
      <c r="S19" s="13">
        <f>P19/H19</f>
        <v>0</v>
      </c>
      <c r="T19" s="13">
        <f>Q19/I19</f>
        <v>0</v>
      </c>
      <c r="U19" s="59"/>
      <c r="V19" s="42" t="e">
        <f ca="1">bdrate($D19:$D22,E19:E22,$L19:$L22,M19:M22)</f>
        <v>#NAME?</v>
      </c>
      <c r="W19" s="47" t="e">
        <f ca="1">bdrate($D19:$D22,F19:F22,$L19:$L22,N19:N22)</f>
        <v>#NAME?</v>
      </c>
      <c r="X19" s="48" t="e">
        <f ca="1">bdrate($D19:$D22,G19:G22,$L19:$L22,O19:O22)</f>
        <v>#NAME?</v>
      </c>
      <c r="Y19" s="42" t="e">
        <f ca="1">bdrateOld($D19:$D22,E19:E22,$L19:$L22,M19:M22)</f>
        <v>#NAME?</v>
      </c>
      <c r="Z19" s="47" t="e">
        <f ca="1">bdrateOld($D19:$D22,F19:F22,$L19:$L22,N19:N22)</f>
        <v>#NAME?</v>
      </c>
      <c r="AA19" s="48" t="e">
        <f ca="1">bdrateOld($D19:$D22,G19:G22,$L19:$L22,O19:O22)</f>
        <v>#NAME?</v>
      </c>
      <c r="AB19" s="54"/>
      <c r="AC19" s="12"/>
      <c r="AD19" s="13"/>
      <c r="AE19" s="13"/>
      <c r="AF19" s="13"/>
      <c r="AG19" s="13"/>
      <c r="AH19" s="13"/>
      <c r="AI19" s="14"/>
      <c r="AJ19" s="13" t="e">
        <f>R19/AI19</f>
        <v>#DIV/0!</v>
      </c>
      <c r="AK19" s="13" t="e">
        <f>Q19/AH19</f>
        <v>#DIV/0!</v>
      </c>
      <c r="AL19" s="54"/>
      <c r="AM19" s="42" t="e">
        <f ca="1">bdrate($AC19:$AC22,AD19:AD22,$L19:$L22, M19:M22)</f>
        <v>#NAME?</v>
      </c>
      <c r="AN19" s="47" t="e">
        <f ca="1">bdrate($AC19:$AC22,AE19:AE22,$L19:$L22, N19:N22)</f>
        <v>#NAME?</v>
      </c>
      <c r="AO19" s="48" t="e">
        <f ca="1">bdrate($AC19:$AC22,AF19:AF22,$L19:$L22, O19:O22)</f>
        <v>#NAME?</v>
      </c>
      <c r="AP19" s="42" t="e">
        <f ca="1">bdrateOld($AC19:$AC22,AD19:AD22,$L19:$L22, M19:M22)</f>
        <v>#NAME?</v>
      </c>
      <c r="AQ19" s="47" t="e">
        <f ca="1">bdrateOld($AC19:$AC22,AE19:AE22,$L19:$L22, N19:N22)</f>
        <v>#NAME?</v>
      </c>
      <c r="AR19" s="48" t="e">
        <f ca="1">bdrateOld($AC19:$AC22,AF19:AF22,$L19:$L22, O19:O22)</f>
        <v>#NAME?</v>
      </c>
    </row>
    <row r="20" spans="1:44">
      <c r="A20" s="16" t="s">
        <v>51</v>
      </c>
      <c r="B20" s="16"/>
      <c r="C20" s="16">
        <v>27</v>
      </c>
      <c r="D20" s="17">
        <v>10098.5008</v>
      </c>
      <c r="E20" s="18">
        <v>39.2787509999999</v>
      </c>
      <c r="F20" s="18">
        <v>41.221207333333297</v>
      </c>
      <c r="G20" s="18">
        <v>42.122994333333303</v>
      </c>
      <c r="H20" s="18">
        <v>162327.71900000001</v>
      </c>
      <c r="I20" s="18">
        <v>256.14</v>
      </c>
      <c r="J20" s="19">
        <v>122.002225</v>
      </c>
      <c r="L20" s="17"/>
      <c r="M20" s="18"/>
      <c r="N20" s="18"/>
      <c r="O20" s="18"/>
      <c r="P20" s="18"/>
      <c r="Q20" s="18"/>
      <c r="R20" s="19"/>
      <c r="S20" s="18">
        <f t="shared" ref="S20:S34" si="5">P20/H20</f>
        <v>0</v>
      </c>
      <c r="T20" s="18">
        <f t="shared" ref="T20:T34" si="6">Q20/I20</f>
        <v>0</v>
      </c>
      <c r="U20" s="60"/>
      <c r="V20" s="43"/>
      <c r="W20" s="26"/>
      <c r="X20" s="55"/>
      <c r="Y20" s="43"/>
      <c r="Z20" s="26"/>
      <c r="AA20" s="55"/>
      <c r="AB20" s="20"/>
      <c r="AC20" s="17"/>
      <c r="AD20" s="18"/>
      <c r="AE20" s="18"/>
      <c r="AF20" s="18"/>
      <c r="AG20" s="18"/>
      <c r="AH20" s="18"/>
      <c r="AI20" s="19"/>
      <c r="AJ20" s="18" t="e">
        <f t="shared" ref="AJ20:AJ34" si="7">R20/AI20</f>
        <v>#DIV/0!</v>
      </c>
      <c r="AK20" s="18" t="e">
        <f t="shared" ref="AK20:AK34" si="8">Q20/AH20</f>
        <v>#DIV/0!</v>
      </c>
      <c r="AL20" s="20"/>
      <c r="AM20" s="43"/>
      <c r="AN20" s="26"/>
      <c r="AO20" s="55"/>
      <c r="AP20" s="43"/>
      <c r="AQ20" s="26"/>
      <c r="AR20" s="55"/>
    </row>
    <row r="21" spans="1:44">
      <c r="A21" s="16"/>
      <c r="B21" s="16"/>
      <c r="C21" s="16">
        <v>32</v>
      </c>
      <c r="D21" s="17">
        <v>5094.0991999999997</v>
      </c>
      <c r="E21" s="18">
        <v>37.928418666666602</v>
      </c>
      <c r="F21" s="18">
        <v>40.613502999999902</v>
      </c>
      <c r="G21" s="18">
        <v>40.903009999999902</v>
      </c>
      <c r="H21" s="18">
        <v>134936.484</v>
      </c>
      <c r="I21" s="18">
        <v>254.390999999999</v>
      </c>
      <c r="J21" s="19">
        <v>93.552794444444444</v>
      </c>
      <c r="L21" s="17"/>
      <c r="M21" s="18"/>
      <c r="N21" s="18"/>
      <c r="O21" s="18"/>
      <c r="P21" s="18"/>
      <c r="Q21" s="18"/>
      <c r="R21" s="19"/>
      <c r="S21" s="18">
        <f t="shared" si="5"/>
        <v>0</v>
      </c>
      <c r="T21" s="18">
        <f t="shared" si="6"/>
        <v>0</v>
      </c>
      <c r="U21" s="60"/>
      <c r="V21" s="43"/>
      <c r="W21" s="26"/>
      <c r="X21" s="55"/>
      <c r="Y21" s="43"/>
      <c r="Z21" s="26"/>
      <c r="AA21" s="55"/>
      <c r="AB21" s="20"/>
      <c r="AC21" s="17"/>
      <c r="AD21" s="18"/>
      <c r="AE21" s="18"/>
      <c r="AF21" s="18"/>
      <c r="AG21" s="18"/>
      <c r="AH21" s="18"/>
      <c r="AI21" s="19"/>
      <c r="AJ21" s="18" t="e">
        <f t="shared" si="7"/>
        <v>#DIV/0!</v>
      </c>
      <c r="AK21" s="18" t="e">
        <f t="shared" si="8"/>
        <v>#DIV/0!</v>
      </c>
      <c r="AL21" s="20"/>
      <c r="AM21" s="43"/>
      <c r="AN21" s="26"/>
      <c r="AO21" s="55"/>
      <c r="AP21" s="43"/>
      <c r="AQ21" s="26"/>
      <c r="AR21" s="55"/>
    </row>
    <row r="22" spans="1:44" ht="12.75" thickBot="1">
      <c r="A22" s="16"/>
      <c r="B22" s="21"/>
      <c r="C22" s="21">
        <v>37</v>
      </c>
      <c r="D22" s="22">
        <v>2747.8416000000002</v>
      </c>
      <c r="E22" s="23">
        <v>36.0912856666666</v>
      </c>
      <c r="F22" s="23">
        <v>39.975112000000003</v>
      </c>
      <c r="G22" s="23">
        <v>39.744982999999998</v>
      </c>
      <c r="H22" s="23">
        <v>112062.484</v>
      </c>
      <c r="I22" s="23">
        <v>267.78300000000002</v>
      </c>
      <c r="J22" s="24">
        <v>73.966844444444448</v>
      </c>
      <c r="L22" s="22"/>
      <c r="M22" s="23"/>
      <c r="N22" s="23"/>
      <c r="O22" s="23"/>
      <c r="P22" s="23"/>
      <c r="Q22" s="23"/>
      <c r="R22" s="24"/>
      <c r="S22" s="18">
        <f t="shared" si="5"/>
        <v>0</v>
      </c>
      <c r="T22" s="18">
        <f t="shared" si="6"/>
        <v>0</v>
      </c>
      <c r="U22" s="60"/>
      <c r="V22" s="44"/>
      <c r="W22" s="56"/>
      <c r="X22" s="57"/>
      <c r="Y22" s="44"/>
      <c r="Z22" s="56"/>
      <c r="AA22" s="57"/>
      <c r="AB22" s="20"/>
      <c r="AC22" s="22"/>
      <c r="AD22" s="23"/>
      <c r="AE22" s="23"/>
      <c r="AF22" s="23"/>
      <c r="AG22" s="23"/>
      <c r="AH22" s="23"/>
      <c r="AI22" s="24"/>
      <c r="AJ22" s="18" t="e">
        <f t="shared" si="7"/>
        <v>#DIV/0!</v>
      </c>
      <c r="AK22" s="18" t="e">
        <f t="shared" si="8"/>
        <v>#DIV/0!</v>
      </c>
      <c r="AL22" s="20"/>
      <c r="AM22" s="44"/>
      <c r="AN22" s="56"/>
      <c r="AO22" s="57"/>
      <c r="AP22" s="44"/>
      <c r="AQ22" s="56"/>
      <c r="AR22" s="57"/>
    </row>
    <row r="23" spans="1:44">
      <c r="A23" s="16"/>
      <c r="B23" s="16" t="s">
        <v>83</v>
      </c>
      <c r="C23" s="11">
        <v>22</v>
      </c>
      <c r="D23" s="12">
        <v>14299.2688</v>
      </c>
      <c r="E23" s="13">
        <v>40.019916666666603</v>
      </c>
      <c r="F23" s="13">
        <v>47.603793999999901</v>
      </c>
      <c r="G23" s="13">
        <v>47.143514000000003</v>
      </c>
      <c r="H23" s="13">
        <v>135337.891</v>
      </c>
      <c r="I23" s="13">
        <v>277.56199999999899</v>
      </c>
      <c r="J23" s="14">
        <v>135.35424166666667</v>
      </c>
      <c r="L23" s="12"/>
      <c r="M23" s="13"/>
      <c r="N23" s="13"/>
      <c r="O23" s="13"/>
      <c r="P23" s="13"/>
      <c r="Q23" s="13"/>
      <c r="R23" s="14"/>
      <c r="S23" s="18">
        <f t="shared" si="5"/>
        <v>0</v>
      </c>
      <c r="T23" s="18">
        <f t="shared" si="6"/>
        <v>0</v>
      </c>
      <c r="U23" s="60"/>
      <c r="V23" s="42" t="e">
        <f ca="1">bdrate($D23:$D26,E23:E26,$L23:$L26,M23:M26)</f>
        <v>#NAME?</v>
      </c>
      <c r="W23" s="47" t="e">
        <f ca="1">bdrate($D23:$D26,F23:F26,$L23:$L26,N23:N26)</f>
        <v>#NAME?</v>
      </c>
      <c r="X23" s="47" t="e">
        <f ca="1">bdrate($D23:$D26,G23:G26,$L23:$L26,O23:O26)</f>
        <v>#NAME?</v>
      </c>
      <c r="Y23" s="45" t="e">
        <f ca="1">bdrateOld($D23:$D26,E23:E26,$L23:$L26,M23:M26)</f>
        <v>#NAME?</v>
      </c>
      <c r="Z23" s="49" t="e">
        <f ca="1">bdrateOld($D23:$D26,F23:F26,$L23:$L26,N23:N26)</f>
        <v>#NAME?</v>
      </c>
      <c r="AA23" s="50" t="e">
        <f ca="1">bdrateOld($D23:$D26,G23:G26,$L23:$L26,O23:O26)</f>
        <v>#NAME?</v>
      </c>
      <c r="AB23" s="20"/>
      <c r="AC23" s="12"/>
      <c r="AD23" s="13"/>
      <c r="AE23" s="13"/>
      <c r="AF23" s="13"/>
      <c r="AG23" s="13"/>
      <c r="AH23" s="13"/>
      <c r="AI23" s="14"/>
      <c r="AJ23" s="18" t="e">
        <f t="shared" si="7"/>
        <v>#DIV/0!</v>
      </c>
      <c r="AK23" s="18" t="e">
        <f t="shared" si="8"/>
        <v>#DIV/0!</v>
      </c>
      <c r="AL23" s="20"/>
      <c r="AM23" s="42" t="e">
        <f ca="1">bdrate($AC23:$AC26,AD23:AD26,$L23:$L26, M23:M26)</f>
        <v>#NAME?</v>
      </c>
      <c r="AN23" s="47" t="e">
        <f ca="1">bdrate($AC23:$AC26,AE23:AE26,$L23:$L26, N23:N26)</f>
        <v>#NAME?</v>
      </c>
      <c r="AO23" s="48" t="e">
        <f ca="1">bdrate($AC23:$AC26,AF23:AF26,$L23:$L26, O23:O26)</f>
        <v>#NAME?</v>
      </c>
      <c r="AP23" s="42" t="e">
        <f ca="1">bdrateOld($AC23:$AC26,AD23:AD26,$L23:$L26, M23:M26)</f>
        <v>#NAME?</v>
      </c>
      <c r="AQ23" s="47" t="e">
        <f ca="1">bdrateOld($AC23:$AC26,AE23:AE26,$L23:$L26, N23:N26)</f>
        <v>#NAME?</v>
      </c>
      <c r="AR23" s="48" t="e">
        <f ca="1">bdrateOld($AC23:$AC26,AF23:AF26,$L23:$L26, O23:O26)</f>
        <v>#NAME?</v>
      </c>
    </row>
    <row r="24" spans="1:44">
      <c r="A24" s="16"/>
      <c r="B24" s="16"/>
      <c r="C24" s="16">
        <v>27</v>
      </c>
      <c r="D24" s="17">
        <v>3559.3487999999902</v>
      </c>
      <c r="E24" s="18">
        <v>39.1520296666666</v>
      </c>
      <c r="F24" s="18">
        <v>46.385638333333297</v>
      </c>
      <c r="G24" s="18">
        <v>46.165212333333301</v>
      </c>
      <c r="H24" s="18">
        <v>93889.937000000005</v>
      </c>
      <c r="I24" s="18">
        <v>221.404</v>
      </c>
      <c r="J24" s="19">
        <v>74.003247222222228</v>
      </c>
      <c r="L24" s="17"/>
      <c r="M24" s="18"/>
      <c r="N24" s="18"/>
      <c r="O24" s="18"/>
      <c r="P24" s="18"/>
      <c r="Q24" s="18"/>
      <c r="R24" s="19"/>
      <c r="S24" s="18">
        <f t="shared" si="5"/>
        <v>0</v>
      </c>
      <c r="T24" s="18">
        <f t="shared" si="6"/>
        <v>0</v>
      </c>
      <c r="U24" s="60"/>
      <c r="V24" s="43"/>
      <c r="W24" s="26"/>
      <c r="X24" s="26"/>
      <c r="Y24" s="43"/>
      <c r="Z24" s="26"/>
      <c r="AA24" s="55"/>
      <c r="AB24" s="20"/>
      <c r="AC24" s="17"/>
      <c r="AD24" s="18"/>
      <c r="AE24" s="18"/>
      <c r="AF24" s="18"/>
      <c r="AG24" s="18"/>
      <c r="AH24" s="18"/>
      <c r="AI24" s="19"/>
      <c r="AJ24" s="18" t="e">
        <f t="shared" si="7"/>
        <v>#DIV/0!</v>
      </c>
      <c r="AK24" s="18" t="e">
        <f t="shared" si="8"/>
        <v>#DIV/0!</v>
      </c>
      <c r="AL24" s="20"/>
      <c r="AM24" s="43"/>
      <c r="AN24" s="26"/>
      <c r="AO24" s="55"/>
      <c r="AP24" s="43"/>
      <c r="AQ24" s="26"/>
      <c r="AR24" s="55"/>
    </row>
    <row r="25" spans="1:44">
      <c r="A25" s="16"/>
      <c r="B25" s="16"/>
      <c r="C25" s="16">
        <v>32</v>
      </c>
      <c r="D25" s="17">
        <v>1623.2223999999901</v>
      </c>
      <c r="E25" s="18">
        <v>38.089849666666602</v>
      </c>
      <c r="F25" s="18">
        <v>45.137170666666599</v>
      </c>
      <c r="G25" s="18">
        <v>45.0386666666666</v>
      </c>
      <c r="H25" s="18">
        <v>67782.095000000001</v>
      </c>
      <c r="I25" s="18">
        <v>192.673</v>
      </c>
      <c r="J25" s="19">
        <v>51.674469444444441</v>
      </c>
      <c r="L25" s="17"/>
      <c r="M25" s="18"/>
      <c r="N25" s="18"/>
      <c r="O25" s="18"/>
      <c r="P25" s="18"/>
      <c r="Q25" s="18"/>
      <c r="R25" s="19"/>
      <c r="S25" s="18">
        <f t="shared" si="5"/>
        <v>0</v>
      </c>
      <c r="T25" s="18">
        <f t="shared" si="6"/>
        <v>0</v>
      </c>
      <c r="U25" s="60"/>
      <c r="V25" s="43"/>
      <c r="W25" s="26"/>
      <c r="X25" s="26"/>
      <c r="Y25" s="43"/>
      <c r="Z25" s="26"/>
      <c r="AA25" s="55"/>
      <c r="AB25" s="20"/>
      <c r="AC25" s="17"/>
      <c r="AD25" s="18"/>
      <c r="AE25" s="18"/>
      <c r="AF25" s="18"/>
      <c r="AG25" s="18"/>
      <c r="AH25" s="18"/>
      <c r="AI25" s="19"/>
      <c r="AJ25" s="18" t="e">
        <f t="shared" si="7"/>
        <v>#DIV/0!</v>
      </c>
      <c r="AK25" s="18" t="e">
        <f t="shared" si="8"/>
        <v>#DIV/0!</v>
      </c>
      <c r="AL25" s="20"/>
      <c r="AM25" s="43"/>
      <c r="AN25" s="26"/>
      <c r="AO25" s="55"/>
      <c r="AP25" s="43"/>
      <c r="AQ25" s="26"/>
      <c r="AR25" s="55"/>
    </row>
    <row r="26" spans="1:44" ht="12.75" thickBot="1">
      <c r="A26" s="16"/>
      <c r="B26" s="21"/>
      <c r="C26" s="21">
        <v>37</v>
      </c>
      <c r="D26" s="22">
        <v>820.93280000000004</v>
      </c>
      <c r="E26" s="23">
        <v>36.749828666666602</v>
      </c>
      <c r="F26" s="23">
        <v>43.876039999999897</v>
      </c>
      <c r="G26" s="23">
        <v>43.740265666666602</v>
      </c>
      <c r="H26" s="23">
        <v>58710.720000000001</v>
      </c>
      <c r="I26" s="23">
        <v>179.328</v>
      </c>
      <c r="J26" s="24">
        <v>40.624586111111114</v>
      </c>
      <c r="L26" s="22"/>
      <c r="M26" s="23"/>
      <c r="N26" s="23"/>
      <c r="O26" s="23"/>
      <c r="P26" s="23"/>
      <c r="Q26" s="23"/>
      <c r="R26" s="24"/>
      <c r="S26" s="18">
        <f t="shared" si="5"/>
        <v>0</v>
      </c>
      <c r="T26" s="18">
        <f t="shared" si="6"/>
        <v>0</v>
      </c>
      <c r="U26" s="60"/>
      <c r="V26" s="44"/>
      <c r="W26" s="56"/>
      <c r="X26" s="56"/>
      <c r="Y26" s="44"/>
      <c r="Z26" s="56"/>
      <c r="AA26" s="57"/>
      <c r="AB26" s="20"/>
      <c r="AC26" s="22"/>
      <c r="AD26" s="23"/>
      <c r="AE26" s="23"/>
      <c r="AF26" s="23"/>
      <c r="AG26" s="23"/>
      <c r="AH26" s="23"/>
      <c r="AI26" s="24"/>
      <c r="AJ26" s="18" t="e">
        <f t="shared" si="7"/>
        <v>#DIV/0!</v>
      </c>
      <c r="AK26" s="18" t="e">
        <f t="shared" si="8"/>
        <v>#DIV/0!</v>
      </c>
      <c r="AL26" s="20"/>
      <c r="AM26" s="44"/>
      <c r="AN26" s="56"/>
      <c r="AO26" s="57"/>
      <c r="AP26" s="44"/>
      <c r="AQ26" s="56"/>
      <c r="AR26" s="57"/>
    </row>
    <row r="27" spans="1:44">
      <c r="A27" s="36"/>
      <c r="B27" s="16" t="s">
        <v>84</v>
      </c>
      <c r="C27" s="35">
        <v>22</v>
      </c>
      <c r="D27" s="12">
        <v>54135.939200000001</v>
      </c>
      <c r="E27" s="13">
        <v>38.089410333333298</v>
      </c>
      <c r="F27" s="13">
        <v>45.875429333333301</v>
      </c>
      <c r="G27" s="13">
        <v>43.758544000000001</v>
      </c>
      <c r="H27" s="13">
        <v>287911.71799999999</v>
      </c>
      <c r="I27" s="13">
        <v>353.76600000000002</v>
      </c>
      <c r="J27" s="14">
        <v>268.11354166666666</v>
      </c>
      <c r="L27" s="12"/>
      <c r="M27" s="13"/>
      <c r="N27" s="13"/>
      <c r="O27" s="13"/>
      <c r="P27" s="13"/>
      <c r="Q27" s="13"/>
      <c r="R27" s="14"/>
      <c r="S27" s="18">
        <f t="shared" si="5"/>
        <v>0</v>
      </c>
      <c r="T27" s="18">
        <f t="shared" si="6"/>
        <v>0</v>
      </c>
      <c r="U27" s="60"/>
      <c r="V27" s="42" t="e">
        <f ca="1">bdrate($D27:$D30,E27:E30,$L27:$L30,M27:M30)</f>
        <v>#NAME?</v>
      </c>
      <c r="W27" s="47" t="e">
        <f ca="1">bdrate($D27:$D30,F27:F30,$L27:$L30,N27:N30)</f>
        <v>#NAME?</v>
      </c>
      <c r="X27" s="47" t="e">
        <f ca="1">bdrate($D27:$D30,G27:G30,$L27:$L30,O27:O30)</f>
        <v>#NAME?</v>
      </c>
      <c r="Y27" s="45" t="e">
        <f ca="1">bdrateOld($D27:$D30,E27:E30,$L27:$L30,M27:M30)</f>
        <v>#NAME?</v>
      </c>
      <c r="Z27" s="49" t="e">
        <f ca="1">bdrateOld($D27:$D30,F27:F30,$L27:$L30,N27:N30)</f>
        <v>#NAME?</v>
      </c>
      <c r="AA27" s="50" t="e">
        <f ca="1">bdrateOld($D27:$D30,G27:G30,$L27:$L30,O27:O30)</f>
        <v>#NAME?</v>
      </c>
      <c r="AB27" s="20"/>
      <c r="AC27" s="12"/>
      <c r="AD27" s="13"/>
      <c r="AE27" s="13"/>
      <c r="AF27" s="13"/>
      <c r="AG27" s="13"/>
      <c r="AH27" s="13"/>
      <c r="AI27" s="14"/>
      <c r="AJ27" s="18" t="e">
        <f t="shared" si="7"/>
        <v>#DIV/0!</v>
      </c>
      <c r="AK27" s="18" t="e">
        <f t="shared" si="8"/>
        <v>#DIV/0!</v>
      </c>
      <c r="AL27" s="20"/>
      <c r="AM27" s="42" t="e">
        <f ca="1">bdrate($AC27:$AC30,AD27:AD30,$L27:$L30, M27:M30)</f>
        <v>#NAME?</v>
      </c>
      <c r="AN27" s="47" t="e">
        <f ca="1">bdrate($AC27:$AC30,AE27:AE30,$L27:$L30, N27:N30)</f>
        <v>#NAME?</v>
      </c>
      <c r="AO27" s="48" t="e">
        <f ca="1">bdrate($AC27:$AC30,AF27:AF30,$L27:$L30, O27:O30)</f>
        <v>#NAME?</v>
      </c>
      <c r="AP27" s="42" t="e">
        <f ca="1">bdrateOld($AC27:$AC30,AD27:AD30,$L27:$L30, M27:M30)</f>
        <v>#NAME?</v>
      </c>
      <c r="AQ27" s="47" t="e">
        <f ca="1">bdrateOld($AC27:$AC30,AE27:AE30,$L27:$L30, N27:N30)</f>
        <v>#NAME?</v>
      </c>
      <c r="AR27" s="48" t="e">
        <f ca="1">bdrateOld($AC27:$AC30,AF27:AF30,$L27:$L30, O27:O30)</f>
        <v>#NAME?</v>
      </c>
    </row>
    <row r="28" spans="1:44">
      <c r="A28" s="36"/>
      <c r="B28" s="16"/>
      <c r="C28" s="36">
        <v>27</v>
      </c>
      <c r="D28" s="17">
        <v>11441.830400000001</v>
      </c>
      <c r="E28" s="18">
        <v>36.956090666666597</v>
      </c>
      <c r="F28" s="18">
        <v>44.770839000000002</v>
      </c>
      <c r="G28" s="18">
        <v>42.541639666666597</v>
      </c>
      <c r="H28" s="18">
        <v>186727.68799999999</v>
      </c>
      <c r="I28" s="18">
        <v>264.50099999999998</v>
      </c>
      <c r="J28" s="19">
        <v>146.98705277777779</v>
      </c>
      <c r="L28" s="17"/>
      <c r="M28" s="18"/>
      <c r="N28" s="18"/>
      <c r="O28" s="18"/>
      <c r="P28" s="18"/>
      <c r="Q28" s="18"/>
      <c r="R28" s="19"/>
      <c r="S28" s="18">
        <f t="shared" si="5"/>
        <v>0</v>
      </c>
      <c r="T28" s="18">
        <f t="shared" si="6"/>
        <v>0</v>
      </c>
      <c r="U28" s="60"/>
      <c r="V28" s="43"/>
      <c r="W28" s="26"/>
      <c r="X28" s="26"/>
      <c r="Y28" s="43"/>
      <c r="Z28" s="26"/>
      <c r="AA28" s="55"/>
      <c r="AB28" s="20"/>
      <c r="AC28" s="17"/>
      <c r="AD28" s="18"/>
      <c r="AE28" s="18"/>
      <c r="AF28" s="18"/>
      <c r="AG28" s="18"/>
      <c r="AH28" s="18"/>
      <c r="AI28" s="19"/>
      <c r="AJ28" s="18" t="e">
        <f t="shared" si="7"/>
        <v>#DIV/0!</v>
      </c>
      <c r="AK28" s="18" t="e">
        <f t="shared" si="8"/>
        <v>#DIV/0!</v>
      </c>
      <c r="AL28" s="20"/>
      <c r="AM28" s="43"/>
      <c r="AN28" s="26"/>
      <c r="AO28" s="55"/>
      <c r="AP28" s="43"/>
      <c r="AQ28" s="26"/>
      <c r="AR28" s="55"/>
    </row>
    <row r="29" spans="1:44">
      <c r="A29" s="36"/>
      <c r="B29" s="36"/>
      <c r="C29" s="36">
        <v>32</v>
      </c>
      <c r="D29" s="17">
        <v>5090.4799999999996</v>
      </c>
      <c r="E29" s="18">
        <v>36.226483666666603</v>
      </c>
      <c r="F29" s="18">
        <v>44.1532603333333</v>
      </c>
      <c r="G29" s="18">
        <v>41.811836333333297</v>
      </c>
      <c r="H29" s="18">
        <v>148011.18700000001</v>
      </c>
      <c r="I29" s="18">
        <v>253.87599999999901</v>
      </c>
      <c r="J29" s="19">
        <f t="shared" ref="J29" si="9">H29/3600</f>
        <v>41.114218611111113</v>
      </c>
      <c r="L29" s="17"/>
      <c r="M29" s="18"/>
      <c r="N29" s="18"/>
      <c r="O29" s="18"/>
      <c r="P29" s="18"/>
      <c r="Q29" s="18"/>
      <c r="R29" s="19"/>
      <c r="S29" s="18">
        <f t="shared" si="5"/>
        <v>0</v>
      </c>
      <c r="T29" s="18">
        <f t="shared" si="6"/>
        <v>0</v>
      </c>
      <c r="U29" s="60"/>
      <c r="V29" s="43"/>
      <c r="W29" s="26"/>
      <c r="X29" s="26"/>
      <c r="Y29" s="43"/>
      <c r="Z29" s="26"/>
      <c r="AA29" s="55"/>
      <c r="AB29" s="20"/>
      <c r="AC29" s="17"/>
      <c r="AD29" s="18"/>
      <c r="AE29" s="18"/>
      <c r="AF29" s="18"/>
      <c r="AG29" s="18"/>
      <c r="AH29" s="18"/>
      <c r="AI29" s="19"/>
      <c r="AJ29" s="18" t="e">
        <f t="shared" si="7"/>
        <v>#DIV/0!</v>
      </c>
      <c r="AK29" s="18" t="e">
        <f t="shared" si="8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>
      <c r="A30" s="36"/>
      <c r="B30" s="37"/>
      <c r="C30" s="37">
        <v>37</v>
      </c>
      <c r="D30" s="22">
        <v>2599.5376000000001</v>
      </c>
      <c r="E30" s="23">
        <v>34.796356666666597</v>
      </c>
      <c r="F30" s="23">
        <v>43.244062333333297</v>
      </c>
      <c r="G30" s="23">
        <v>40.806466999999998</v>
      </c>
      <c r="H30" s="23">
        <v>118023.81299999999</v>
      </c>
      <c r="I30" s="23">
        <v>260.85899999999998</v>
      </c>
      <c r="J30" s="24">
        <v>81.482602777777771</v>
      </c>
      <c r="L30" s="22"/>
      <c r="M30" s="23"/>
      <c r="N30" s="23"/>
      <c r="O30" s="23"/>
      <c r="P30" s="23"/>
      <c r="Q30" s="23"/>
      <c r="R30" s="24"/>
      <c r="S30" s="18">
        <f t="shared" si="5"/>
        <v>0</v>
      </c>
      <c r="T30" s="18">
        <f t="shared" si="6"/>
        <v>0</v>
      </c>
      <c r="U30" s="60"/>
      <c r="V30" s="44"/>
      <c r="W30" s="56"/>
      <c r="X30" s="56"/>
      <c r="Y30" s="44"/>
      <c r="Z30" s="56"/>
      <c r="AA30" s="57"/>
      <c r="AB30" s="20"/>
      <c r="AC30" s="22"/>
      <c r="AD30" s="23"/>
      <c r="AE30" s="23"/>
      <c r="AF30" s="23"/>
      <c r="AG30" s="23"/>
      <c r="AH30" s="23"/>
      <c r="AI30" s="24"/>
      <c r="AJ30" s="18" t="e">
        <f t="shared" si="7"/>
        <v>#DIV/0!</v>
      </c>
      <c r="AK30" s="18" t="e">
        <f t="shared" si="8"/>
        <v>#DIV/0!</v>
      </c>
      <c r="AL30" s="20"/>
      <c r="AM30" s="44"/>
      <c r="AN30" s="56"/>
      <c r="AO30" s="57"/>
      <c r="AP30" s="44"/>
      <c r="AQ30" s="56"/>
      <c r="AR30" s="57"/>
    </row>
    <row r="31" spans="1:44">
      <c r="A31" s="36"/>
      <c r="B31" s="11" t="s">
        <v>85</v>
      </c>
      <c r="C31" s="35">
        <v>22</v>
      </c>
      <c r="D31" s="12">
        <v>22670.817599999998</v>
      </c>
      <c r="E31" s="13">
        <v>45.381504333333297</v>
      </c>
      <c r="F31" s="13">
        <v>47.135049666666603</v>
      </c>
      <c r="G31" s="13">
        <v>45.8518226666666</v>
      </c>
      <c r="H31" s="13">
        <v>321843.88999999902</v>
      </c>
      <c r="I31" s="13">
        <v>327.12599999999998</v>
      </c>
      <c r="J31" s="14">
        <v>239.00385277777778</v>
      </c>
      <c r="L31" s="12"/>
      <c r="M31" s="13"/>
      <c r="N31" s="13"/>
      <c r="O31" s="13"/>
      <c r="P31" s="13"/>
      <c r="Q31" s="13"/>
      <c r="R31" s="14"/>
      <c r="S31" s="18">
        <f t="shared" si="5"/>
        <v>0</v>
      </c>
      <c r="T31" s="18">
        <f t="shared" si="6"/>
        <v>0</v>
      </c>
      <c r="U31" s="60"/>
      <c r="V31" s="42" t="e">
        <f ca="1">bdrate($D31:$D34,E31:E34,$L31:$L34,M31:M34)</f>
        <v>#NAME?</v>
      </c>
      <c r="W31" s="47" t="e">
        <f ca="1">bdrate($D31:$D34,F31:F34,$L31:$L34,N31:N34)</f>
        <v>#NAME?</v>
      </c>
      <c r="X31" s="47" t="e">
        <f ca="1">bdrate($D31:$D34,G31:G34,$L31:$L34,O31:O34)</f>
        <v>#NAME?</v>
      </c>
      <c r="Y31" s="45" t="e">
        <f ca="1">bdrateOld($D31:$D34,E31:E34,$L31:$L34,M31:M34)</f>
        <v>#NAME?</v>
      </c>
      <c r="Z31" s="49" t="e">
        <f ca="1">bdrateOld($D31:$D34,F31:F34,$L31:$L34,N31:N34)</f>
        <v>#NAME?</v>
      </c>
      <c r="AA31" s="50" t="e">
        <f ca="1">bdrateOld($D31:$D34,G31:G34,$L31:$L34,O31:O34)</f>
        <v>#NAME?</v>
      </c>
      <c r="AB31" s="20"/>
      <c r="AC31" s="12"/>
      <c r="AD31" s="13"/>
      <c r="AE31" s="13"/>
      <c r="AF31" s="13"/>
      <c r="AG31" s="13"/>
      <c r="AH31" s="13"/>
      <c r="AI31" s="14"/>
      <c r="AJ31" s="18" t="e">
        <f t="shared" si="7"/>
        <v>#DIV/0!</v>
      </c>
      <c r="AK31" s="18" t="e">
        <f t="shared" si="8"/>
        <v>#DIV/0!</v>
      </c>
      <c r="AL31" s="20"/>
      <c r="AM31" s="42" t="e">
        <f ca="1">bdrate($AC31:$AC34,AD31:AD34,$L31:$L34, M31:M34)</f>
        <v>#NAME?</v>
      </c>
      <c r="AN31" s="47" t="e">
        <f ca="1">bdrate($AC31:$AC34,AE31:AE34,$L31:$L34, N31:N34)</f>
        <v>#NAME?</v>
      </c>
      <c r="AO31" s="48" t="e">
        <f ca="1">bdrate($AC31:$AC34,AF31:AF34,$L31:$L34, O31:O34)</f>
        <v>#NAME?</v>
      </c>
      <c r="AP31" s="42" t="e">
        <f ca="1">bdrateOld($AC31:$AC34,AD31:AD34,$L31:$L34, M31:M34)</f>
        <v>#NAME?</v>
      </c>
      <c r="AQ31" s="47" t="e">
        <f ca="1">bdrateOld($AC31:$AC34,AE31:AE34,$L31:$L34, N31:N34)</f>
        <v>#NAME?</v>
      </c>
      <c r="AR31" s="48" t="e">
        <f ca="1">bdrateOld($AC31:$AC34,AF31:AF34,$L31:$L34, O31:O34)</f>
        <v>#NAME?</v>
      </c>
    </row>
    <row r="32" spans="1:44">
      <c r="A32" s="36"/>
      <c r="B32" s="36"/>
      <c r="C32" s="36">
        <v>27</v>
      </c>
      <c r="D32" s="17">
        <v>8882.6128000000008</v>
      </c>
      <c r="E32" s="18">
        <v>43.316547333333297</v>
      </c>
      <c r="F32" s="18">
        <v>45.640936000000004</v>
      </c>
      <c r="G32" s="18">
        <v>44.700126333333301</v>
      </c>
      <c r="H32" s="18">
        <v>253302.486</v>
      </c>
      <c r="I32" s="18">
        <v>273.98500000000001</v>
      </c>
      <c r="J32" s="19">
        <v>171.3704888888889</v>
      </c>
      <c r="L32" s="17"/>
      <c r="M32" s="18"/>
      <c r="N32" s="18"/>
      <c r="O32" s="18"/>
      <c r="P32" s="18"/>
      <c r="Q32" s="18"/>
      <c r="R32" s="19"/>
      <c r="S32" s="18">
        <f t="shared" si="5"/>
        <v>0</v>
      </c>
      <c r="T32" s="18">
        <f t="shared" si="6"/>
        <v>0</v>
      </c>
      <c r="U32" s="60"/>
      <c r="V32" s="43"/>
      <c r="W32" s="26"/>
      <c r="X32" s="26"/>
      <c r="Y32" s="43"/>
      <c r="Z32" s="26"/>
      <c r="AA32" s="55"/>
      <c r="AB32" s="20"/>
      <c r="AC32" s="17"/>
      <c r="AD32" s="18"/>
      <c r="AE32" s="18"/>
      <c r="AF32" s="18"/>
      <c r="AG32" s="18"/>
      <c r="AH32" s="18"/>
      <c r="AI32" s="19"/>
      <c r="AJ32" s="18" t="e">
        <f t="shared" si="7"/>
        <v>#DIV/0!</v>
      </c>
      <c r="AK32" s="18" t="e">
        <f t="shared" si="8"/>
        <v>#DIV/0!</v>
      </c>
      <c r="AL32" s="20"/>
      <c r="AM32" s="43"/>
      <c r="AN32" s="26"/>
      <c r="AO32" s="55"/>
      <c r="AP32" s="43"/>
      <c r="AQ32" s="26"/>
      <c r="AR32" s="55"/>
    </row>
    <row r="33" spans="1:44">
      <c r="A33" s="36"/>
      <c r="B33" s="36"/>
      <c r="C33" s="36">
        <v>32</v>
      </c>
      <c r="D33" s="17">
        <v>4440.5712000000003</v>
      </c>
      <c r="E33" s="18">
        <v>41.152359666666598</v>
      </c>
      <c r="F33" s="18">
        <v>44.225791999999998</v>
      </c>
      <c r="G33" s="18">
        <v>43.727402333333302</v>
      </c>
      <c r="H33" s="18">
        <v>209472.766</v>
      </c>
      <c r="I33" s="18">
        <v>248.358</v>
      </c>
      <c r="J33" s="19"/>
      <c r="L33" s="17"/>
      <c r="M33" s="18"/>
      <c r="N33" s="18"/>
      <c r="O33" s="18"/>
      <c r="P33" s="18"/>
      <c r="Q33" s="18"/>
      <c r="R33" s="19"/>
      <c r="S33" s="18">
        <f t="shared" si="5"/>
        <v>0</v>
      </c>
      <c r="T33" s="18">
        <f t="shared" si="6"/>
        <v>0</v>
      </c>
      <c r="U33" s="60"/>
      <c r="V33" s="43"/>
      <c r="W33" s="26"/>
      <c r="X33" s="26"/>
      <c r="Y33" s="43"/>
      <c r="Z33" s="26"/>
      <c r="AA33" s="55"/>
      <c r="AB33" s="20"/>
      <c r="AC33" s="17"/>
      <c r="AD33" s="18"/>
      <c r="AE33" s="18"/>
      <c r="AF33" s="18"/>
      <c r="AG33" s="18"/>
      <c r="AH33" s="18"/>
      <c r="AI33" s="19"/>
      <c r="AJ33" s="18" t="e">
        <f t="shared" si="7"/>
        <v>#DIV/0!</v>
      </c>
      <c r="AK33" s="18" t="e">
        <f t="shared" si="8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>
      <c r="A34" s="37"/>
      <c r="B34" s="37"/>
      <c r="C34" s="37">
        <v>37</v>
      </c>
      <c r="D34" s="22">
        <v>2371.904</v>
      </c>
      <c r="E34" s="23">
        <v>38.761498666666597</v>
      </c>
      <c r="F34" s="23">
        <v>42.904480999999997</v>
      </c>
      <c r="G34" s="23">
        <v>42.864108333333299</v>
      </c>
      <c r="H34" s="23">
        <v>169002.68799999999</v>
      </c>
      <c r="I34" s="23">
        <v>251.453</v>
      </c>
      <c r="J34" s="24">
        <f t="shared" ref="J34" si="10">H34/3600</f>
        <v>46.945191111111107</v>
      </c>
      <c r="L34" s="22"/>
      <c r="M34" s="23"/>
      <c r="N34" s="23"/>
      <c r="O34" s="23"/>
      <c r="P34" s="23"/>
      <c r="Q34" s="23"/>
      <c r="R34" s="24"/>
      <c r="S34" s="23">
        <f t="shared" si="5"/>
        <v>0</v>
      </c>
      <c r="T34" s="23">
        <f t="shared" si="6"/>
        <v>0</v>
      </c>
      <c r="U34" s="61"/>
      <c r="V34" s="44"/>
      <c r="W34" s="56"/>
      <c r="X34" s="56"/>
      <c r="Y34" s="44"/>
      <c r="Z34" s="56"/>
      <c r="AA34" s="57"/>
      <c r="AB34" s="25"/>
      <c r="AC34" s="22"/>
      <c r="AD34" s="23"/>
      <c r="AE34" s="23"/>
      <c r="AF34" s="23"/>
      <c r="AG34" s="23"/>
      <c r="AH34" s="23"/>
      <c r="AI34" s="24"/>
      <c r="AJ34" s="23" t="e">
        <f t="shared" si="7"/>
        <v>#DIV/0!</v>
      </c>
      <c r="AK34" s="23" t="e">
        <f t="shared" si="8"/>
        <v>#DIV/0!</v>
      </c>
      <c r="AL34" s="25"/>
      <c r="AM34" s="44"/>
      <c r="AN34" s="56"/>
      <c r="AO34" s="57"/>
      <c r="AP34" s="44"/>
      <c r="AQ34" s="56"/>
      <c r="AR34" s="57"/>
    </row>
    <row r="35" spans="1:44">
      <c r="A35" s="11" t="s">
        <v>1</v>
      </c>
      <c r="B35" s="11" t="s">
        <v>2</v>
      </c>
      <c r="C35" s="11">
        <v>22</v>
      </c>
      <c r="D35" s="12">
        <v>4273.1135999999997</v>
      </c>
      <c r="E35" s="13">
        <v>41.8755216666666</v>
      </c>
      <c r="F35" s="13">
        <v>43.552951666666601</v>
      </c>
      <c r="G35" s="13">
        <v>45.337325416666602</v>
      </c>
      <c r="H35" s="13">
        <v>45621.642</v>
      </c>
      <c r="I35" s="13">
        <v>74.671999999999997</v>
      </c>
      <c r="J35" s="14">
        <v>42.818152777777776</v>
      </c>
      <c r="L35" s="12"/>
      <c r="M35" s="13"/>
      <c r="N35" s="13"/>
      <c r="O35" s="13"/>
      <c r="P35" s="13"/>
      <c r="Q35" s="13"/>
      <c r="R35" s="14"/>
      <c r="S35" s="13">
        <f t="shared" si="0"/>
        <v>0</v>
      </c>
      <c r="T35" s="13">
        <f t="shared" si="0"/>
        <v>0</v>
      </c>
      <c r="U35" s="59"/>
      <c r="V35" s="42" t="e">
        <f ca="1">bdrate($D35:$D38,E35:E38,$L35:$L38,M35:M38)</f>
        <v>#NAME?</v>
      </c>
      <c r="W35" s="47" t="e">
        <f ca="1">bdrate($D35:$D38,F35:F38,$L35:$L38,N35:N38)</f>
        <v>#NAME?</v>
      </c>
      <c r="X35" s="48" t="e">
        <f ca="1">bdrate($D35:$D38,G35:G38,$L35:$L38,O35:O38)</f>
        <v>#NAME?</v>
      </c>
      <c r="Y35" s="42" t="e">
        <f ca="1">bdrateOld($D35:$D38,E35:E38,$L35:$L38,M35:M38)</f>
        <v>#NAME?</v>
      </c>
      <c r="Z35" s="47" t="e">
        <f ca="1">bdrateOld($D35:$D38,F35:F38,$L35:$L38,N35:N38)</f>
        <v>#NAME?</v>
      </c>
      <c r="AA35" s="48" t="e">
        <f ca="1">bdrateOld($D35:$D38,G35:G38,$L35:$L38,O35:O38)</f>
        <v>#NAME?</v>
      </c>
      <c r="AB35" s="54"/>
      <c r="AC35" s="12"/>
      <c r="AD35" s="13"/>
      <c r="AE35" s="13"/>
      <c r="AF35" s="13"/>
      <c r="AG35" s="13"/>
      <c r="AH35" s="13"/>
      <c r="AI35" s="14"/>
      <c r="AJ35" s="13" t="e">
        <f t="shared" si="1"/>
        <v>#DIV/0!</v>
      </c>
      <c r="AK35" s="13" t="e">
        <f t="shared" si="2"/>
        <v>#DIV/0!</v>
      </c>
      <c r="AL35" s="54"/>
      <c r="AM35" s="42" t="e">
        <f ca="1">bdrate($AC35:$AC38,AD35:AD38,$L35:$L38, M35:M38)</f>
        <v>#NAME?</v>
      </c>
      <c r="AN35" s="47" t="e">
        <f ca="1">bdrate($AC35:$AC38,AE35:AE38,$L35:$L38, N35:N38)</f>
        <v>#NAME?</v>
      </c>
      <c r="AO35" s="48" t="e">
        <f ca="1">bdrate($AC35:$AC38,AF35:AF38,$L35:$L38, O35:O38)</f>
        <v>#NAME?</v>
      </c>
      <c r="AP35" s="42" t="e">
        <f ca="1">bdrateOld($AC35:$AC38,AD35:AD38,$L35:$L38, M35:M38)</f>
        <v>#NAME?</v>
      </c>
      <c r="AQ35" s="47" t="e">
        <f ca="1">bdrateOld($AC35:$AC38,AE35:AE38,$L35:$L38, N35:N38)</f>
        <v>#NAME?</v>
      </c>
      <c r="AR35" s="48" t="e">
        <f ca="1">bdrateOld($AC35:$AC38,AF35:AF38,$L35:$L38, O35:O38)</f>
        <v>#NAME?</v>
      </c>
    </row>
    <row r="36" spans="1:44">
      <c r="A36" s="16" t="s">
        <v>52</v>
      </c>
      <c r="B36" s="16"/>
      <c r="C36" s="16">
        <v>27</v>
      </c>
      <c r="D36" s="17">
        <v>1880.5927999999999</v>
      </c>
      <c r="E36" s="18">
        <v>39.943652499999999</v>
      </c>
      <c r="F36" s="18">
        <v>42.381802499999999</v>
      </c>
      <c r="G36" s="18">
        <v>43.613599999999998</v>
      </c>
      <c r="H36" s="18">
        <v>35320.031999999999</v>
      </c>
      <c r="I36" s="18">
        <v>67.72</v>
      </c>
      <c r="J36" s="19">
        <v>31.64833888888889</v>
      </c>
      <c r="L36" s="17"/>
      <c r="M36" s="18"/>
      <c r="N36" s="18"/>
      <c r="O36" s="18"/>
      <c r="P36" s="18"/>
      <c r="Q36" s="18"/>
      <c r="R36" s="19"/>
      <c r="S36" s="18">
        <f t="shared" si="0"/>
        <v>0</v>
      </c>
      <c r="T36" s="18">
        <f t="shared" si="0"/>
        <v>0</v>
      </c>
      <c r="U36" s="60"/>
      <c r="V36" s="43"/>
      <c r="W36" s="26"/>
      <c r="X36" s="55"/>
      <c r="Y36" s="43"/>
      <c r="Z36" s="26"/>
      <c r="AA36" s="55"/>
      <c r="AB36" s="20"/>
      <c r="AC36" s="17"/>
      <c r="AD36" s="18"/>
      <c r="AE36" s="18"/>
      <c r="AF36" s="18"/>
      <c r="AG36" s="18"/>
      <c r="AH36" s="18"/>
      <c r="AI36" s="19"/>
      <c r="AJ36" s="18" t="e">
        <f t="shared" si="1"/>
        <v>#DIV/0!</v>
      </c>
      <c r="AK36" s="18" t="e">
        <f t="shared" si="2"/>
        <v>#DIV/0!</v>
      </c>
      <c r="AL36" s="20"/>
      <c r="AM36" s="43"/>
      <c r="AN36" s="26"/>
      <c r="AO36" s="55"/>
      <c r="AP36" s="43"/>
      <c r="AQ36" s="26"/>
      <c r="AR36" s="55"/>
    </row>
    <row r="37" spans="1:44">
      <c r="A37" s="16"/>
      <c r="B37" s="16"/>
      <c r="C37" s="16">
        <v>32</v>
      </c>
      <c r="D37" s="17">
        <v>928.819199999999</v>
      </c>
      <c r="E37" s="18">
        <v>37.634005833333298</v>
      </c>
      <c r="F37" s="18">
        <v>41.380101666666597</v>
      </c>
      <c r="G37" s="18">
        <v>42.360012499999897</v>
      </c>
      <c r="H37" s="18">
        <v>29900.392</v>
      </c>
      <c r="I37" s="18">
        <v>64.406999999999996</v>
      </c>
      <c r="J37" s="19">
        <v>24.243794444444447</v>
      </c>
      <c r="L37" s="17"/>
      <c r="M37" s="18"/>
      <c r="N37" s="18"/>
      <c r="O37" s="18"/>
      <c r="P37" s="18"/>
      <c r="Q37" s="18"/>
      <c r="R37" s="19"/>
      <c r="S37" s="18">
        <f t="shared" si="0"/>
        <v>0</v>
      </c>
      <c r="T37" s="18">
        <f t="shared" si="0"/>
        <v>0</v>
      </c>
      <c r="U37" s="60"/>
      <c r="V37" s="43"/>
      <c r="W37" s="26"/>
      <c r="X37" s="55"/>
      <c r="Y37" s="43"/>
      <c r="Z37" s="26"/>
      <c r="AA37" s="55"/>
      <c r="AB37" s="20"/>
      <c r="AC37" s="17"/>
      <c r="AD37" s="18"/>
      <c r="AE37" s="18"/>
      <c r="AF37" s="18"/>
      <c r="AG37" s="18"/>
      <c r="AH37" s="18"/>
      <c r="AI37" s="19"/>
      <c r="AJ37" s="18" t="e">
        <f t="shared" si="1"/>
        <v>#DIV/0!</v>
      </c>
      <c r="AK37" s="18" t="e">
        <f t="shared" si="2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>
      <c r="A38" s="16"/>
      <c r="B38" s="21"/>
      <c r="C38" s="21">
        <v>37</v>
      </c>
      <c r="D38" s="22">
        <v>453.26319999999998</v>
      </c>
      <c r="E38" s="23">
        <v>35.123792083333299</v>
      </c>
      <c r="F38" s="23">
        <v>40.479854166666598</v>
      </c>
      <c r="G38" s="23">
        <v>41.445031666666601</v>
      </c>
      <c r="H38" s="23">
        <v>24476.829000000002</v>
      </c>
      <c r="I38" s="23">
        <v>56.689</v>
      </c>
      <c r="J38" s="24">
        <v>19.305230555555557</v>
      </c>
      <c r="L38" s="22"/>
      <c r="M38" s="23"/>
      <c r="N38" s="23"/>
      <c r="O38" s="23"/>
      <c r="P38" s="23"/>
      <c r="Q38" s="23"/>
      <c r="R38" s="24"/>
      <c r="S38" s="18">
        <f t="shared" si="0"/>
        <v>0</v>
      </c>
      <c r="T38" s="18">
        <f t="shared" si="0"/>
        <v>0</v>
      </c>
      <c r="U38" s="60"/>
      <c r="V38" s="44"/>
      <c r="W38" s="56"/>
      <c r="X38" s="57"/>
      <c r="Y38" s="44"/>
      <c r="Z38" s="56"/>
      <c r="AA38" s="57"/>
      <c r="AB38" s="20"/>
      <c r="AC38" s="22"/>
      <c r="AD38" s="23"/>
      <c r="AE38" s="23"/>
      <c r="AF38" s="23"/>
      <c r="AG38" s="23"/>
      <c r="AH38" s="23"/>
      <c r="AI38" s="24"/>
      <c r="AJ38" s="18" t="e">
        <f t="shared" si="1"/>
        <v>#DIV/0!</v>
      </c>
      <c r="AK38" s="18" t="e">
        <f t="shared" si="2"/>
        <v>#DIV/0!</v>
      </c>
      <c r="AL38" s="20"/>
      <c r="AM38" s="44"/>
      <c r="AN38" s="56"/>
      <c r="AO38" s="57"/>
      <c r="AP38" s="44"/>
      <c r="AQ38" s="56"/>
      <c r="AR38" s="57"/>
    </row>
    <row r="39" spans="1:44">
      <c r="A39" s="16"/>
      <c r="B39" s="11" t="s">
        <v>3</v>
      </c>
      <c r="C39" s="11">
        <v>22</v>
      </c>
      <c r="D39" s="12">
        <v>6659.192</v>
      </c>
      <c r="E39" s="13">
        <v>40.310667500000001</v>
      </c>
      <c r="F39" s="13">
        <v>42.559154999999997</v>
      </c>
      <c r="G39" s="13">
        <v>44.095407083333299</v>
      </c>
      <c r="H39" s="13">
        <v>35272.125</v>
      </c>
      <c r="I39" s="13">
        <v>79.438999999999993</v>
      </c>
      <c r="J39" s="14">
        <v>35.047691666666665</v>
      </c>
      <c r="K39" s="27"/>
      <c r="L39" s="12"/>
      <c r="M39" s="13"/>
      <c r="N39" s="13"/>
      <c r="O39" s="13"/>
      <c r="P39" s="13"/>
      <c r="Q39" s="13"/>
      <c r="R39" s="14"/>
      <c r="S39" s="18">
        <f t="shared" si="0"/>
        <v>0</v>
      </c>
      <c r="T39" s="18">
        <f t="shared" si="0"/>
        <v>0</v>
      </c>
      <c r="U39" s="60"/>
      <c r="V39" s="42" t="e">
        <f ca="1">bdrate($D39:$D42,E39:E42,$L39:$L42,M39:M42)</f>
        <v>#NAME?</v>
      </c>
      <c r="W39" s="47" t="e">
        <f ca="1">bdrate($D39:$D42,F39:F42,$L39:$L42,N39:N42)</f>
        <v>#NAME?</v>
      </c>
      <c r="X39" s="47" t="e">
        <f ca="1">bdrate($D39:$D42,G39:G42,$L39:$L42,O39:O42)</f>
        <v>#NAME?</v>
      </c>
      <c r="Y39" s="45" t="e">
        <f ca="1">bdrateOld($D39:$D42,E39:E42,$L39:$L42,M39:M42)</f>
        <v>#NAME?</v>
      </c>
      <c r="Z39" s="49" t="e">
        <f ca="1">bdrateOld($D39:$D42,F39:F42,$L39:$L42,N39:N42)</f>
        <v>#NAME?</v>
      </c>
      <c r="AA39" s="50" t="e">
        <f ca="1">bdrateOld($D39:$D42,G39:G42,$L39:$L42,O39:O42)</f>
        <v>#NAME?</v>
      </c>
      <c r="AB39" s="20"/>
      <c r="AC39" s="12"/>
      <c r="AD39" s="13"/>
      <c r="AE39" s="13"/>
      <c r="AF39" s="13"/>
      <c r="AG39" s="13"/>
      <c r="AH39" s="13"/>
      <c r="AI39" s="14"/>
      <c r="AJ39" s="18" t="e">
        <f t="shared" si="1"/>
        <v>#DIV/0!</v>
      </c>
      <c r="AK39" s="18" t="e">
        <f t="shared" si="2"/>
        <v>#DIV/0!</v>
      </c>
      <c r="AL39" s="20"/>
      <c r="AM39" s="42" t="e">
        <f ca="1">bdrate($AC39:$AC42,AD39:AD42,$L39:$L42, M39:M42)</f>
        <v>#NAME?</v>
      </c>
      <c r="AN39" s="47" t="e">
        <f ca="1">bdrate($AC39:$AC42,AE39:AE42,$L39:$L42, N39:N42)</f>
        <v>#NAME?</v>
      </c>
      <c r="AO39" s="48" t="e">
        <f ca="1">bdrate($AC39:$AC42,AF39:AF42,$L39:$L42, O39:O42)</f>
        <v>#NAME?</v>
      </c>
      <c r="AP39" s="42" t="e">
        <f ca="1">bdrateOld($AC39:$AC42,AD39:AD42,$L39:$L42, M39:M42)</f>
        <v>#NAME?</v>
      </c>
      <c r="AQ39" s="47" t="e">
        <f ca="1">bdrateOld($AC39:$AC42,AE39:AE42,$L39:$L42, N39:N42)</f>
        <v>#NAME?</v>
      </c>
      <c r="AR39" s="48" t="e">
        <f ca="1">bdrateOld($AC39:$AC42,AF39:AF42,$L39:$L42, O39:O42)</f>
        <v>#NAME?</v>
      </c>
    </row>
    <row r="40" spans="1:44">
      <c r="A40" s="16"/>
      <c r="B40" s="16"/>
      <c r="C40" s="16">
        <v>27</v>
      </c>
      <c r="D40" s="17">
        <v>2814.3927999999901</v>
      </c>
      <c r="E40" s="18">
        <v>37.822922083333303</v>
      </c>
      <c r="F40" s="18">
        <v>41.083204166666597</v>
      </c>
      <c r="G40" s="18">
        <v>41.963422916666602</v>
      </c>
      <c r="H40" s="18">
        <v>26563.453000000001</v>
      </c>
      <c r="I40" s="18">
        <v>64.844999999999899</v>
      </c>
      <c r="J40" s="19">
        <v>26.022008333333332</v>
      </c>
      <c r="K40" s="27"/>
      <c r="L40" s="17"/>
      <c r="M40" s="18"/>
      <c r="N40" s="18"/>
      <c r="O40" s="18"/>
      <c r="P40" s="18"/>
      <c r="Q40" s="18"/>
      <c r="R40" s="19"/>
      <c r="S40" s="18">
        <f t="shared" si="0"/>
        <v>0</v>
      </c>
      <c r="T40" s="18">
        <f t="shared" si="0"/>
        <v>0</v>
      </c>
      <c r="U40" s="60"/>
      <c r="V40" s="43"/>
      <c r="W40" s="26"/>
      <c r="X40" s="26"/>
      <c r="Y40" s="43"/>
      <c r="Z40" s="26"/>
      <c r="AA40" s="55"/>
      <c r="AB40" s="20"/>
      <c r="AC40" s="17"/>
      <c r="AD40" s="18"/>
      <c r="AE40" s="18"/>
      <c r="AF40" s="18"/>
      <c r="AG40" s="18"/>
      <c r="AH40" s="18"/>
      <c r="AI40" s="19"/>
      <c r="AJ40" s="18" t="e">
        <f t="shared" si="1"/>
        <v>#DIV/0!</v>
      </c>
      <c r="AK40" s="18" t="e">
        <f t="shared" si="2"/>
        <v>#DIV/0!</v>
      </c>
      <c r="AL40" s="20"/>
      <c r="AM40" s="43"/>
      <c r="AN40" s="26"/>
      <c r="AO40" s="55"/>
      <c r="AP40" s="43"/>
      <c r="AQ40" s="26"/>
      <c r="AR40" s="55"/>
    </row>
    <row r="41" spans="1:44">
      <c r="A41" s="16"/>
      <c r="B41" s="16"/>
      <c r="C41" s="16">
        <v>32</v>
      </c>
      <c r="D41" s="17">
        <v>1311.1007999999999</v>
      </c>
      <c r="E41" s="18">
        <v>35.313895000000002</v>
      </c>
      <c r="F41" s="18">
        <v>39.729930416666598</v>
      </c>
      <c r="G41" s="18">
        <v>40.390735416666601</v>
      </c>
      <c r="H41" s="18">
        <v>21384.406999999999</v>
      </c>
      <c r="I41" s="18">
        <v>61.627000000000002</v>
      </c>
      <c r="J41" s="19">
        <v>19.963105555555554</v>
      </c>
      <c r="K41" s="27"/>
      <c r="L41" s="17"/>
      <c r="M41" s="18"/>
      <c r="N41" s="18"/>
      <c r="O41" s="18"/>
      <c r="P41" s="18"/>
      <c r="Q41" s="18"/>
      <c r="R41" s="19"/>
      <c r="S41" s="18">
        <f t="shared" si="0"/>
        <v>0</v>
      </c>
      <c r="T41" s="18">
        <f t="shared" si="0"/>
        <v>0</v>
      </c>
      <c r="U41" s="60"/>
      <c r="V41" s="43"/>
      <c r="W41" s="26"/>
      <c r="X41" s="26"/>
      <c r="Y41" s="43"/>
      <c r="Z41" s="26"/>
      <c r="AA41" s="55"/>
      <c r="AB41" s="20"/>
      <c r="AC41" s="17"/>
      <c r="AD41" s="18"/>
      <c r="AE41" s="18"/>
      <c r="AF41" s="18"/>
      <c r="AG41" s="18"/>
      <c r="AH41" s="18"/>
      <c r="AI41" s="19"/>
      <c r="AJ41" s="18" t="e">
        <f t="shared" si="1"/>
        <v>#DIV/0!</v>
      </c>
      <c r="AK41" s="18" t="e">
        <f t="shared" si="2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>
      <c r="A42" s="16"/>
      <c r="B42" s="21"/>
      <c r="C42" s="21">
        <v>37</v>
      </c>
      <c r="D42" s="22">
        <v>607.00159999999903</v>
      </c>
      <c r="E42" s="23">
        <v>32.8376645833333</v>
      </c>
      <c r="F42" s="23">
        <v>38.476402499999999</v>
      </c>
      <c r="G42" s="23">
        <v>39.3369225</v>
      </c>
      <c r="H42" s="23">
        <v>17242.016</v>
      </c>
      <c r="I42" s="23">
        <v>56.125999999999998</v>
      </c>
      <c r="J42" s="24">
        <v>15.155708333333335</v>
      </c>
      <c r="K42" s="27"/>
      <c r="L42" s="22"/>
      <c r="M42" s="23"/>
      <c r="N42" s="23"/>
      <c r="O42" s="23"/>
      <c r="P42" s="23"/>
      <c r="Q42" s="23"/>
      <c r="R42" s="24"/>
      <c r="S42" s="18">
        <f t="shared" si="0"/>
        <v>0</v>
      </c>
      <c r="T42" s="18">
        <f t="shared" si="0"/>
        <v>0</v>
      </c>
      <c r="U42" s="60"/>
      <c r="V42" s="44"/>
      <c r="W42" s="56"/>
      <c r="X42" s="56"/>
      <c r="Y42" s="44"/>
      <c r="Z42" s="56"/>
      <c r="AA42" s="57"/>
      <c r="AB42" s="20"/>
      <c r="AC42" s="22"/>
      <c r="AD42" s="23"/>
      <c r="AE42" s="23"/>
      <c r="AF42" s="23"/>
      <c r="AG42" s="23"/>
      <c r="AH42" s="23"/>
      <c r="AI42" s="24"/>
      <c r="AJ42" s="18" t="e">
        <f t="shared" si="1"/>
        <v>#DIV/0!</v>
      </c>
      <c r="AK42" s="18" t="e">
        <f t="shared" si="2"/>
        <v>#DIV/0!</v>
      </c>
      <c r="AL42" s="20"/>
      <c r="AM42" s="44"/>
      <c r="AN42" s="56"/>
      <c r="AO42" s="57"/>
      <c r="AP42" s="44"/>
      <c r="AQ42" s="56"/>
      <c r="AR42" s="57"/>
    </row>
    <row r="43" spans="1:44">
      <c r="A43" s="16"/>
      <c r="B43" s="11" t="s">
        <v>4</v>
      </c>
      <c r="C43" s="11">
        <v>22</v>
      </c>
      <c r="D43" s="12">
        <v>15148.127199999901</v>
      </c>
      <c r="E43" s="13">
        <v>38.605520800000001</v>
      </c>
      <c r="F43" s="13">
        <v>39.997110599999999</v>
      </c>
      <c r="G43" s="13">
        <v>43.729303399999999</v>
      </c>
      <c r="H43" s="13">
        <v>97455.031999999905</v>
      </c>
      <c r="I43" s="13">
        <v>161.313999999999</v>
      </c>
      <c r="J43" s="14">
        <v>90.862133333333333</v>
      </c>
      <c r="L43" s="12"/>
      <c r="M43" s="13"/>
      <c r="N43" s="13"/>
      <c r="O43" s="13"/>
      <c r="P43" s="13"/>
      <c r="Q43" s="13"/>
      <c r="R43" s="14"/>
      <c r="S43" s="18">
        <f t="shared" si="0"/>
        <v>0</v>
      </c>
      <c r="T43" s="18">
        <f t="shared" si="0"/>
        <v>0</v>
      </c>
      <c r="U43" s="60"/>
      <c r="V43" s="42" t="e">
        <f ca="1">bdrate($D43:$D46,E43:E46,$L43:$L46,M43:M46)</f>
        <v>#NAME?</v>
      </c>
      <c r="W43" s="47" t="e">
        <f ca="1">bdrate($D43:$D46,F43:F46,$L43:$L46,N43:N46)</f>
        <v>#NAME?</v>
      </c>
      <c r="X43" s="47" t="e">
        <f ca="1">bdrate($D43:$D46,G43:G46,$L43:$L46,O43:O46)</f>
        <v>#NAME?</v>
      </c>
      <c r="Y43" s="45" t="e">
        <f ca="1">bdrateOld($D43:$D46,E43:E46,$L43:$L46,M43:M46)</f>
        <v>#NAME?</v>
      </c>
      <c r="Z43" s="49" t="e">
        <f ca="1">bdrateOld($D43:$D46,F43:F46,$L43:$L46,N43:N46)</f>
        <v>#NAME?</v>
      </c>
      <c r="AA43" s="50" t="e">
        <f ca="1">bdrateOld($D43:$D46,G43:G46,$L43:$L46,O43:O46)</f>
        <v>#NAME?</v>
      </c>
      <c r="AB43" s="20"/>
      <c r="AC43" s="12"/>
      <c r="AD43" s="13"/>
      <c r="AE43" s="13"/>
      <c r="AF43" s="13"/>
      <c r="AG43" s="13"/>
      <c r="AH43" s="13"/>
      <c r="AI43" s="14"/>
      <c r="AJ43" s="18" t="e">
        <f t="shared" si="1"/>
        <v>#DIV/0!</v>
      </c>
      <c r="AK43" s="18" t="e">
        <f t="shared" si="2"/>
        <v>#DIV/0!</v>
      </c>
      <c r="AL43" s="20"/>
      <c r="AM43" s="42" t="e">
        <f ca="1">bdrate($AC43:$AC46,AD43:AD46,$L43:$L46, M43:M46)</f>
        <v>#NAME?</v>
      </c>
      <c r="AN43" s="47" t="e">
        <f ca="1">bdrate($AC43:$AC46,AE43:AE46,$L43:$L46, N43:N46)</f>
        <v>#NAME?</v>
      </c>
      <c r="AO43" s="48" t="e">
        <f ca="1">bdrate($AC43:$AC46,AF43:AF46,$L43:$L46, O43:O46)</f>
        <v>#NAME?</v>
      </c>
      <c r="AP43" s="42" t="e">
        <f ca="1">bdrateOld($AC43:$AC46,AD43:AD46,$L43:$L46, M43:M46)</f>
        <v>#NAME?</v>
      </c>
      <c r="AQ43" s="47" t="e">
        <f ca="1">bdrateOld($AC43:$AC46,AE43:AE46,$L43:$L46, N43:N46)</f>
        <v>#NAME?</v>
      </c>
      <c r="AR43" s="48" t="e">
        <f ca="1">bdrateOld($AC43:$AC46,AF43:AF46,$L43:$L46, O43:O46)</f>
        <v>#NAME?</v>
      </c>
    </row>
    <row r="44" spans="1:44">
      <c r="A44" s="16"/>
      <c r="B44" s="16"/>
      <c r="C44" s="16">
        <v>27</v>
      </c>
      <c r="D44" s="17">
        <v>4916.62</v>
      </c>
      <c r="E44" s="18">
        <v>37.064610000000002</v>
      </c>
      <c r="F44" s="18">
        <v>39.308900799999897</v>
      </c>
      <c r="G44" s="18">
        <v>42.294473199999999</v>
      </c>
      <c r="H44" s="18">
        <v>69212.08</v>
      </c>
      <c r="I44" s="18">
        <v>120.95399999999999</v>
      </c>
      <c r="J44" s="19">
        <v>59.441274999999997</v>
      </c>
      <c r="L44" s="17"/>
      <c r="M44" s="18"/>
      <c r="N44" s="18"/>
      <c r="O44" s="18"/>
      <c r="P44" s="18"/>
      <c r="Q44" s="18"/>
      <c r="R44" s="19"/>
      <c r="S44" s="18">
        <f t="shared" si="0"/>
        <v>0</v>
      </c>
      <c r="T44" s="18">
        <f t="shared" si="0"/>
        <v>0</v>
      </c>
      <c r="U44" s="60"/>
      <c r="V44" s="43"/>
      <c r="W44" s="26"/>
      <c r="X44" s="26"/>
      <c r="Y44" s="43"/>
      <c r="Z44" s="26"/>
      <c r="AA44" s="55"/>
      <c r="AB44" s="20"/>
      <c r="AC44" s="17"/>
      <c r="AD44" s="18"/>
      <c r="AE44" s="18"/>
      <c r="AF44" s="18"/>
      <c r="AG44" s="18"/>
      <c r="AH44" s="18"/>
      <c r="AI44" s="19"/>
      <c r="AJ44" s="18" t="e">
        <f t="shared" si="1"/>
        <v>#DIV/0!</v>
      </c>
      <c r="AK44" s="18" t="e">
        <f t="shared" si="2"/>
        <v>#DIV/0!</v>
      </c>
      <c r="AL44" s="20"/>
      <c r="AM44" s="43"/>
      <c r="AN44" s="26"/>
      <c r="AO44" s="55"/>
      <c r="AP44" s="43"/>
      <c r="AQ44" s="26"/>
      <c r="AR44" s="55"/>
    </row>
    <row r="45" spans="1:44">
      <c r="A45" s="16"/>
      <c r="B45" s="16"/>
      <c r="C45" s="16">
        <v>32</v>
      </c>
      <c r="D45" s="17">
        <v>2379.8375999999998</v>
      </c>
      <c r="E45" s="18">
        <v>35.310535599999902</v>
      </c>
      <c r="F45" s="18">
        <v>38.671903200000003</v>
      </c>
      <c r="G45" s="18">
        <v>40.967120799999996</v>
      </c>
      <c r="H45" s="18">
        <v>57257.830999999998</v>
      </c>
      <c r="I45" s="18">
        <v>111.001</v>
      </c>
      <c r="J45" s="19">
        <v>46.547766666666668</v>
      </c>
      <c r="L45" s="17"/>
      <c r="M45" s="18"/>
      <c r="N45" s="18"/>
      <c r="O45" s="18"/>
      <c r="P45" s="18"/>
      <c r="Q45" s="18"/>
      <c r="R45" s="19"/>
      <c r="S45" s="18">
        <f t="shared" si="0"/>
        <v>0</v>
      </c>
      <c r="T45" s="18">
        <f t="shared" si="0"/>
        <v>0</v>
      </c>
      <c r="U45" s="60"/>
      <c r="V45" s="43"/>
      <c r="W45" s="26"/>
      <c r="X45" s="26"/>
      <c r="Y45" s="43"/>
      <c r="Z45" s="26"/>
      <c r="AA45" s="55"/>
      <c r="AB45" s="20"/>
      <c r="AC45" s="17"/>
      <c r="AD45" s="18"/>
      <c r="AE45" s="18"/>
      <c r="AF45" s="18"/>
      <c r="AG45" s="18"/>
      <c r="AH45" s="18"/>
      <c r="AI45" s="19"/>
      <c r="AJ45" s="18" t="e">
        <f t="shared" si="1"/>
        <v>#DIV/0!</v>
      </c>
      <c r="AK45" s="18" t="e">
        <f t="shared" si="2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>
      <c r="A46" s="16"/>
      <c r="B46" s="21"/>
      <c r="C46" s="21">
        <v>37</v>
      </c>
      <c r="D46" s="22">
        <v>1201.2896000000001</v>
      </c>
      <c r="E46" s="23">
        <v>33.126532999999903</v>
      </c>
      <c r="F46" s="23">
        <v>37.939445200000002</v>
      </c>
      <c r="G46" s="23">
        <v>39.713147800000002</v>
      </c>
      <c r="H46" s="23">
        <v>47427.390999999901</v>
      </c>
      <c r="I46" s="23">
        <v>113.73699999999999</v>
      </c>
      <c r="J46" s="24">
        <v>36.805347222222224</v>
      </c>
      <c r="L46" s="22"/>
      <c r="M46" s="23"/>
      <c r="N46" s="23"/>
      <c r="O46" s="23"/>
      <c r="P46" s="23"/>
      <c r="Q46" s="23"/>
      <c r="R46" s="24"/>
      <c r="S46" s="18">
        <f t="shared" si="0"/>
        <v>0</v>
      </c>
      <c r="T46" s="18">
        <f t="shared" si="0"/>
        <v>0</v>
      </c>
      <c r="U46" s="60"/>
      <c r="V46" s="44"/>
      <c r="W46" s="56"/>
      <c r="X46" s="56"/>
      <c r="Y46" s="44"/>
      <c r="Z46" s="56"/>
      <c r="AA46" s="57"/>
      <c r="AB46" s="20"/>
      <c r="AC46" s="22"/>
      <c r="AD46" s="23"/>
      <c r="AE46" s="23"/>
      <c r="AF46" s="23"/>
      <c r="AG46" s="23"/>
      <c r="AH46" s="23"/>
      <c r="AI46" s="24"/>
      <c r="AJ46" s="18" t="e">
        <f t="shared" si="1"/>
        <v>#DIV/0!</v>
      </c>
      <c r="AK46" s="18" t="e">
        <f t="shared" si="2"/>
        <v>#DIV/0!</v>
      </c>
      <c r="AL46" s="20"/>
      <c r="AM46" s="44"/>
      <c r="AN46" s="56"/>
      <c r="AO46" s="57"/>
      <c r="AP46" s="44"/>
      <c r="AQ46" s="56"/>
      <c r="AR46" s="57"/>
    </row>
    <row r="47" spans="1:44">
      <c r="A47" s="16"/>
      <c r="B47" s="11" t="s">
        <v>5</v>
      </c>
      <c r="C47" s="11">
        <v>22</v>
      </c>
      <c r="D47" s="12">
        <v>15000.004800000001</v>
      </c>
      <c r="E47" s="13">
        <v>39.339882999999901</v>
      </c>
      <c r="F47" s="13">
        <v>43.970824</v>
      </c>
      <c r="G47" s="13">
        <v>45.292650199999997</v>
      </c>
      <c r="H47" s="13">
        <v>146182.503</v>
      </c>
      <c r="I47" s="13">
        <v>170.35899999999901</v>
      </c>
      <c r="J47" s="14">
        <v>121.49273888888888</v>
      </c>
      <c r="L47" s="12"/>
      <c r="M47" s="13"/>
      <c r="N47" s="13"/>
      <c r="O47" s="13"/>
      <c r="P47" s="13"/>
      <c r="Q47" s="13"/>
      <c r="R47" s="14"/>
      <c r="S47" s="18">
        <f t="shared" si="0"/>
        <v>0</v>
      </c>
      <c r="T47" s="18">
        <f t="shared" si="0"/>
        <v>0</v>
      </c>
      <c r="U47" s="60"/>
      <c r="V47" s="42" t="e">
        <f ca="1">bdrate($D47:$D50,E47:E50,$L47:$L50,M47:M50)</f>
        <v>#NAME?</v>
      </c>
      <c r="W47" s="47" t="e">
        <f ca="1">bdrate($D47:$D50,F47:F50,$L47:$L50,N47:N50)</f>
        <v>#NAME?</v>
      </c>
      <c r="X47" s="47" t="e">
        <f ca="1">bdrate($D47:$D50,G47:G50,$L47:$L50,O47:O50)</f>
        <v>#NAME?</v>
      </c>
      <c r="Y47" s="45" t="e">
        <f ca="1">bdrateOld($D47:$D50,E47:E50,$L47:$L50,M47:M50)</f>
        <v>#NAME?</v>
      </c>
      <c r="Z47" s="49" t="e">
        <f ca="1">bdrateOld($D47:$D50,F47:F50,$L47:$L50,N47:N50)</f>
        <v>#NAME?</v>
      </c>
      <c r="AA47" s="50" t="e">
        <f ca="1">bdrateOld($D47:$D50,G47:G50,$L47:$L50,O47:O50)</f>
        <v>#NAME?</v>
      </c>
      <c r="AB47" s="20"/>
      <c r="AC47" s="12"/>
      <c r="AD47" s="13"/>
      <c r="AE47" s="13"/>
      <c r="AF47" s="13"/>
      <c r="AG47" s="13"/>
      <c r="AH47" s="13"/>
      <c r="AI47" s="14"/>
      <c r="AJ47" s="18" t="e">
        <f t="shared" si="1"/>
        <v>#DIV/0!</v>
      </c>
      <c r="AK47" s="18" t="e">
        <f t="shared" si="2"/>
        <v>#DIV/0!</v>
      </c>
      <c r="AL47" s="20"/>
      <c r="AM47" s="42" t="e">
        <f ca="1">bdrate($AC47:$AC50,AD47:AD50,$L47:$L50, M47:M50)</f>
        <v>#NAME?</v>
      </c>
      <c r="AN47" s="47" t="e">
        <f ca="1">bdrate($AC47:$AC50,AE47:AE50,$L47:$L50, N47:N50)</f>
        <v>#NAME?</v>
      </c>
      <c r="AO47" s="48" t="e">
        <f ca="1">bdrate($AC47:$AC50,AF47:AF50,$L47:$L50, O47:O50)</f>
        <v>#NAME?</v>
      </c>
      <c r="AP47" s="42" t="e">
        <f ca="1">bdrateOld($AC47:$AC50,AD47:AD50,$L47:$L50, M47:M50)</f>
        <v>#NAME?</v>
      </c>
      <c r="AQ47" s="47" t="e">
        <f ca="1">bdrateOld($AC47:$AC50,AE47:AE50,$L47:$L50, N47:N50)</f>
        <v>#NAME?</v>
      </c>
      <c r="AR47" s="48" t="e">
        <f ca="1">bdrateOld($AC47:$AC50,AF47:AF50,$L47:$L50, O47:O50)</f>
        <v>#NAME?</v>
      </c>
    </row>
    <row r="48" spans="1:44">
      <c r="A48" s="16"/>
      <c r="B48" s="16"/>
      <c r="C48" s="16">
        <v>27</v>
      </c>
      <c r="D48" s="17">
        <v>5090.5504000000001</v>
      </c>
      <c r="E48" s="18">
        <v>37.674692399999898</v>
      </c>
      <c r="F48" s="18">
        <v>42.945124399999997</v>
      </c>
      <c r="G48" s="18">
        <v>43.611636599999997</v>
      </c>
      <c r="H48" s="18">
        <v>103765.05</v>
      </c>
      <c r="I48" s="18">
        <v>138.517</v>
      </c>
      <c r="J48" s="19">
        <v>79.851294444444434</v>
      </c>
      <c r="L48" s="17"/>
      <c r="M48" s="18"/>
      <c r="N48" s="18"/>
      <c r="O48" s="18"/>
      <c r="P48" s="18"/>
      <c r="Q48" s="18"/>
      <c r="R48" s="19"/>
      <c r="S48" s="18">
        <f t="shared" si="0"/>
        <v>0</v>
      </c>
      <c r="T48" s="18">
        <f t="shared" si="0"/>
        <v>0</v>
      </c>
      <c r="U48" s="60"/>
      <c r="V48" s="43"/>
      <c r="W48" s="26"/>
      <c r="X48" s="26"/>
      <c r="Y48" s="43"/>
      <c r="Z48" s="26"/>
      <c r="AA48" s="55"/>
      <c r="AB48" s="20"/>
      <c r="AC48" s="17"/>
      <c r="AD48" s="18"/>
      <c r="AE48" s="18"/>
      <c r="AF48" s="18"/>
      <c r="AG48" s="18"/>
      <c r="AH48" s="18"/>
      <c r="AI48" s="19"/>
      <c r="AJ48" s="18" t="e">
        <f t="shared" si="1"/>
        <v>#DIV/0!</v>
      </c>
      <c r="AK48" s="18" t="e">
        <f t="shared" si="2"/>
        <v>#DIV/0!</v>
      </c>
      <c r="AL48" s="20"/>
      <c r="AM48" s="43"/>
      <c r="AN48" s="26"/>
      <c r="AO48" s="55"/>
      <c r="AP48" s="43"/>
      <c r="AQ48" s="26"/>
      <c r="AR48" s="55"/>
    </row>
    <row r="49" spans="1:44">
      <c r="A49" s="16"/>
      <c r="B49" s="16"/>
      <c r="C49" s="16">
        <v>32</v>
      </c>
      <c r="D49" s="17">
        <v>2434.4376000000002</v>
      </c>
      <c r="E49" s="18">
        <v>35.928087199999901</v>
      </c>
      <c r="F49" s="18">
        <v>41.9447768</v>
      </c>
      <c r="G49" s="18">
        <v>42.115995400000003</v>
      </c>
      <c r="H49" s="18">
        <v>84358.625</v>
      </c>
      <c r="I49" s="18">
        <v>127.297</v>
      </c>
      <c r="J49" s="19">
        <v>61.528705555555554</v>
      </c>
      <c r="L49" s="17"/>
      <c r="M49" s="18"/>
      <c r="N49" s="18"/>
      <c r="O49" s="18"/>
      <c r="P49" s="18"/>
      <c r="Q49" s="18"/>
      <c r="R49" s="19"/>
      <c r="S49" s="18">
        <f t="shared" si="0"/>
        <v>0</v>
      </c>
      <c r="T49" s="18">
        <f t="shared" si="0"/>
        <v>0</v>
      </c>
      <c r="U49" s="60"/>
      <c r="V49" s="43"/>
      <c r="W49" s="26"/>
      <c r="X49" s="26"/>
      <c r="Y49" s="43"/>
      <c r="Z49" s="26"/>
      <c r="AA49" s="55"/>
      <c r="AB49" s="20"/>
      <c r="AC49" s="17"/>
      <c r="AD49" s="18"/>
      <c r="AE49" s="18"/>
      <c r="AF49" s="18"/>
      <c r="AG49" s="18"/>
      <c r="AH49" s="18"/>
      <c r="AI49" s="19"/>
      <c r="AJ49" s="18" t="e">
        <f t="shared" si="1"/>
        <v>#DIV/0!</v>
      </c>
      <c r="AK49" s="18" t="e">
        <f t="shared" si="2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>
      <c r="A50" s="16"/>
      <c r="B50" s="21"/>
      <c r="C50" s="21">
        <v>37</v>
      </c>
      <c r="D50" s="22">
        <v>1235.328</v>
      </c>
      <c r="E50" s="23">
        <v>33.907892599999997</v>
      </c>
      <c r="F50" s="23">
        <v>40.970597599999998</v>
      </c>
      <c r="G50" s="23">
        <v>40.629156399999999</v>
      </c>
      <c r="H50" s="23">
        <v>69617.86</v>
      </c>
      <c r="I50" s="23">
        <v>125.73399999999999</v>
      </c>
      <c r="J50" s="24">
        <v>48.927169444444445</v>
      </c>
      <c r="L50" s="22"/>
      <c r="M50" s="23"/>
      <c r="N50" s="23"/>
      <c r="O50" s="23"/>
      <c r="P50" s="23"/>
      <c r="Q50" s="23"/>
      <c r="R50" s="24"/>
      <c r="S50" s="18">
        <f t="shared" si="0"/>
        <v>0</v>
      </c>
      <c r="T50" s="18">
        <f t="shared" si="0"/>
        <v>0</v>
      </c>
      <c r="U50" s="60"/>
      <c r="V50" s="44"/>
      <c r="W50" s="56"/>
      <c r="X50" s="56"/>
      <c r="Y50" s="44"/>
      <c r="Z50" s="56"/>
      <c r="AA50" s="57"/>
      <c r="AB50" s="20"/>
      <c r="AC50" s="22"/>
      <c r="AD50" s="23"/>
      <c r="AE50" s="23"/>
      <c r="AF50" s="23"/>
      <c r="AG50" s="23"/>
      <c r="AH50" s="23"/>
      <c r="AI50" s="24"/>
      <c r="AJ50" s="18" t="e">
        <f t="shared" si="1"/>
        <v>#DIV/0!</v>
      </c>
      <c r="AK50" s="18" t="e">
        <f t="shared" si="2"/>
        <v>#DIV/0!</v>
      </c>
      <c r="AL50" s="20"/>
      <c r="AM50" s="44"/>
      <c r="AN50" s="56"/>
      <c r="AO50" s="57"/>
      <c r="AP50" s="44"/>
      <c r="AQ50" s="56"/>
      <c r="AR50" s="57"/>
    </row>
    <row r="51" spans="1:44">
      <c r="A51" s="16"/>
      <c r="B51" s="11" t="s">
        <v>6</v>
      </c>
      <c r="C51" s="11">
        <v>22</v>
      </c>
      <c r="D51" s="12">
        <v>33299.5864</v>
      </c>
      <c r="E51" s="13">
        <v>37.416231833333299</v>
      </c>
      <c r="F51" s="13">
        <v>42.301844166666598</v>
      </c>
      <c r="G51" s="13">
        <v>44.661541833333303</v>
      </c>
      <c r="H51" s="13">
        <v>104563.96799999999</v>
      </c>
      <c r="I51" s="13">
        <v>255.845</v>
      </c>
      <c r="J51" s="14">
        <v>117.12959444444444</v>
      </c>
      <c r="L51" s="12"/>
      <c r="M51" s="13"/>
      <c r="N51" s="13"/>
      <c r="O51" s="13"/>
      <c r="P51" s="13"/>
      <c r="Q51" s="13"/>
      <c r="R51" s="14"/>
      <c r="S51" s="18">
        <f t="shared" si="0"/>
        <v>0</v>
      </c>
      <c r="T51" s="18">
        <f t="shared" si="0"/>
        <v>0</v>
      </c>
      <c r="U51" s="60"/>
      <c r="V51" s="42" t="e">
        <f ca="1">bdrate($D51:$D54,E51:E54,$L51:$L54,M51:M54)</f>
        <v>#NAME?</v>
      </c>
      <c r="W51" s="47" t="e">
        <f ca="1">bdrate($D51:$D54,F51:F54,$L51:$L54,N51:N54)</f>
        <v>#NAME?</v>
      </c>
      <c r="X51" s="47" t="e">
        <f ca="1">bdrate($D51:$D54,G51:G54,$L51:$L54,O51:O54)</f>
        <v>#NAME?</v>
      </c>
      <c r="Y51" s="45" t="e">
        <f ca="1">bdrateOld($D51:$D54,E51:E54,$L51:$L54,M51:M54)</f>
        <v>#NAME?</v>
      </c>
      <c r="Z51" s="49" t="e">
        <f ca="1">bdrateOld($D51:$D54,F51:F54,$L51:$L54,N51:N54)</f>
        <v>#NAME?</v>
      </c>
      <c r="AA51" s="50" t="e">
        <f ca="1">bdrateOld($D51:$D54,G51:G54,$L51:$L54,O51:O54)</f>
        <v>#NAME?</v>
      </c>
      <c r="AB51" s="20"/>
      <c r="AC51" s="12"/>
      <c r="AD51" s="13"/>
      <c r="AE51" s="13"/>
      <c r="AF51" s="13"/>
      <c r="AG51" s="13"/>
      <c r="AH51" s="13"/>
      <c r="AI51" s="14"/>
      <c r="AJ51" s="18" t="e">
        <f t="shared" si="1"/>
        <v>#DIV/0!</v>
      </c>
      <c r="AK51" s="18" t="e">
        <f t="shared" si="2"/>
        <v>#DIV/0!</v>
      </c>
      <c r="AL51" s="20"/>
      <c r="AM51" s="42" t="e">
        <f ca="1">bdrate($AC51:$AC54,AD51:AD54,$L51:$L54, M51:M54)</f>
        <v>#NAME?</v>
      </c>
      <c r="AN51" s="47" t="e">
        <f ca="1">bdrate($AC51:$AC54,AE51:AE54,$L51:$L54, N51:N54)</f>
        <v>#NAME?</v>
      </c>
      <c r="AO51" s="48" t="e">
        <f ca="1">bdrate($AC51:$AC54,AF51:AF54,$L51:$L54, O51:O54)</f>
        <v>#NAME?</v>
      </c>
      <c r="AP51" s="42" t="e">
        <f ca="1">bdrateOld($AC51:$AC54,AD51:AD54,$L51:$L54, M51:M54)</f>
        <v>#NAME?</v>
      </c>
      <c r="AQ51" s="47" t="e">
        <f ca="1">bdrateOld($AC51:$AC54,AE51:AE54,$L51:$L54, N51:N54)</f>
        <v>#NAME?</v>
      </c>
      <c r="AR51" s="48" t="e">
        <f ca="1">bdrateOld($AC51:$AC54,AF51:AF54,$L51:$L54, O51:O54)</f>
        <v>#NAME?</v>
      </c>
    </row>
    <row r="52" spans="1:44">
      <c r="A52" s="16"/>
      <c r="B52" s="16"/>
      <c r="C52" s="16">
        <v>27</v>
      </c>
      <c r="D52" s="17">
        <v>5916.2983999999997</v>
      </c>
      <c r="E52" s="18">
        <v>35.4163151666666</v>
      </c>
      <c r="F52" s="18">
        <v>41.3283116666666</v>
      </c>
      <c r="G52" s="18">
        <v>43.823520166666597</v>
      </c>
      <c r="H52" s="18">
        <v>52995.548999999897</v>
      </c>
      <c r="I52" s="18">
        <v>164.202</v>
      </c>
      <c r="J52" s="19">
        <v>55.50031111111111</v>
      </c>
      <c r="L52" s="17"/>
      <c r="M52" s="18"/>
      <c r="N52" s="18"/>
      <c r="O52" s="18"/>
      <c r="P52" s="18"/>
      <c r="Q52" s="18"/>
      <c r="R52" s="19"/>
      <c r="S52" s="18">
        <f t="shared" si="0"/>
        <v>0</v>
      </c>
      <c r="T52" s="18">
        <f t="shared" si="0"/>
        <v>0</v>
      </c>
      <c r="U52" s="60"/>
      <c r="V52" s="43"/>
      <c r="W52" s="26"/>
      <c r="X52" s="26"/>
      <c r="Y52" s="43"/>
      <c r="Z52" s="26"/>
      <c r="AA52" s="55"/>
      <c r="AB52" s="20"/>
      <c r="AC52" s="17"/>
      <c r="AD52" s="18"/>
      <c r="AE52" s="18"/>
      <c r="AF52" s="18"/>
      <c r="AG52" s="18"/>
      <c r="AH52" s="18"/>
      <c r="AI52" s="19"/>
      <c r="AJ52" s="18" t="e">
        <f t="shared" si="1"/>
        <v>#DIV/0!</v>
      </c>
      <c r="AK52" s="18" t="e">
        <f t="shared" si="2"/>
        <v>#DIV/0!</v>
      </c>
      <c r="AL52" s="20"/>
      <c r="AM52" s="43"/>
      <c r="AN52" s="26"/>
      <c r="AO52" s="55"/>
      <c r="AP52" s="43"/>
      <c r="AQ52" s="26"/>
      <c r="AR52" s="55"/>
    </row>
    <row r="53" spans="1:44">
      <c r="A53" s="16"/>
      <c r="B53" s="16"/>
      <c r="C53" s="16">
        <v>32</v>
      </c>
      <c r="D53" s="17">
        <v>1879.2328</v>
      </c>
      <c r="E53" s="18">
        <v>34.110482666666599</v>
      </c>
      <c r="F53" s="18">
        <v>40.2843861666666</v>
      </c>
      <c r="G53" s="18">
        <v>42.9768226666666</v>
      </c>
      <c r="H53" s="18">
        <v>38260.703999999998</v>
      </c>
      <c r="I53" s="18">
        <v>143.691</v>
      </c>
      <c r="J53" s="19">
        <v>36.463027777777775</v>
      </c>
      <c r="L53" s="17"/>
      <c r="M53" s="18"/>
      <c r="N53" s="18"/>
      <c r="O53" s="18"/>
      <c r="P53" s="18"/>
      <c r="Q53" s="18"/>
      <c r="R53" s="19"/>
      <c r="S53" s="18">
        <f t="shared" si="0"/>
        <v>0</v>
      </c>
      <c r="T53" s="18">
        <f t="shared" si="0"/>
        <v>0</v>
      </c>
      <c r="U53" s="60"/>
      <c r="V53" s="43"/>
      <c r="W53" s="26"/>
      <c r="X53" s="26"/>
      <c r="Y53" s="43"/>
      <c r="Z53" s="26"/>
      <c r="AA53" s="55"/>
      <c r="AB53" s="20"/>
      <c r="AC53" s="17"/>
      <c r="AD53" s="18"/>
      <c r="AE53" s="18"/>
      <c r="AF53" s="18"/>
      <c r="AG53" s="18"/>
      <c r="AH53" s="18"/>
      <c r="AI53" s="19"/>
      <c r="AJ53" s="18" t="e">
        <f t="shared" si="1"/>
        <v>#DIV/0!</v>
      </c>
      <c r="AK53" s="18" t="e">
        <f t="shared" si="2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>
      <c r="A54" s="21"/>
      <c r="B54" s="21"/>
      <c r="C54" s="21">
        <v>37</v>
      </c>
      <c r="D54" s="22">
        <v>846.99680000000001</v>
      </c>
      <c r="E54" s="23">
        <v>32.566404499999997</v>
      </c>
      <c r="F54" s="23">
        <v>39.2567441666666</v>
      </c>
      <c r="G54" s="23">
        <v>42.103805666666602</v>
      </c>
      <c r="H54" s="23">
        <v>31028.687999999998</v>
      </c>
      <c r="I54" s="23">
        <v>133.88999999999999</v>
      </c>
      <c r="J54" s="24">
        <v>26.678152777777779</v>
      </c>
      <c r="L54" s="22"/>
      <c r="M54" s="23"/>
      <c r="N54" s="23"/>
      <c r="O54" s="23"/>
      <c r="P54" s="23"/>
      <c r="Q54" s="23"/>
      <c r="R54" s="24"/>
      <c r="S54" s="18">
        <f t="shared" si="0"/>
        <v>0</v>
      </c>
      <c r="T54" s="18">
        <f t="shared" si="0"/>
        <v>0</v>
      </c>
      <c r="U54" s="60"/>
      <c r="V54" s="44"/>
      <c r="W54" s="56"/>
      <c r="X54" s="56"/>
      <c r="Y54" s="44"/>
      <c r="Z54" s="56"/>
      <c r="AA54" s="57"/>
      <c r="AB54" s="20"/>
      <c r="AC54" s="22"/>
      <c r="AD54" s="23"/>
      <c r="AE54" s="23"/>
      <c r="AF54" s="23"/>
      <c r="AG54" s="23"/>
      <c r="AH54" s="23"/>
      <c r="AI54" s="24"/>
      <c r="AJ54" s="18" t="e">
        <f t="shared" si="1"/>
        <v>#DIV/0!</v>
      </c>
      <c r="AK54" s="18" t="e">
        <f t="shared" si="2"/>
        <v>#DIV/0!</v>
      </c>
      <c r="AL54" s="20"/>
      <c r="AM54" s="44"/>
      <c r="AN54" s="56"/>
      <c r="AO54" s="57"/>
      <c r="AP54" s="44"/>
      <c r="AQ54" s="56"/>
      <c r="AR54" s="57"/>
    </row>
    <row r="55" spans="1:44">
      <c r="A55" s="11" t="s">
        <v>7</v>
      </c>
      <c r="B55" s="11" t="s">
        <v>58</v>
      </c>
      <c r="C55" s="11">
        <v>22</v>
      </c>
      <c r="D55" s="12">
        <v>3036.8031999999998</v>
      </c>
      <c r="E55" s="13">
        <v>41.243873800000003</v>
      </c>
      <c r="F55" s="13">
        <v>43.439450999999998</v>
      </c>
      <c r="G55" s="13">
        <v>44.154483199999902</v>
      </c>
      <c r="H55" s="13">
        <v>21640.547999999999</v>
      </c>
      <c r="I55" s="13">
        <v>48.015999999999998</v>
      </c>
      <c r="J55" s="14">
        <v>24.131533333333334</v>
      </c>
      <c r="K55" s="27"/>
      <c r="L55" s="12"/>
      <c r="M55" s="13"/>
      <c r="N55" s="13"/>
      <c r="O55" s="13"/>
      <c r="P55" s="13"/>
      <c r="Q55" s="13"/>
      <c r="R55" s="14"/>
      <c r="S55" s="13">
        <f t="shared" ref="S55:T78" si="11">P55/H55</f>
        <v>0</v>
      </c>
      <c r="T55" s="13">
        <f t="shared" si="11"/>
        <v>0</v>
      </c>
      <c r="U55" s="101"/>
      <c r="V55" s="104" t="e">
        <f ca="1">bdrate($D55:$D58,E55:E58,$L55:$L58,M55:M58)</f>
        <v>#NAME?</v>
      </c>
      <c r="W55" s="105" t="e">
        <f ca="1">bdrate($D55:$D58,F55:F58,$L55:$L58,N55:N58)</f>
        <v>#NAME?</v>
      </c>
      <c r="X55" s="106" t="e">
        <f ca="1">bdrate($D55:$D58,G55:G58,$L55:$L58,O55:O58)</f>
        <v>#NAME?</v>
      </c>
      <c r="Y55" s="42" t="e">
        <f ca="1">bdrateOld($D55:$D58,E55:E58,$L55:$L58,M55:M58)</f>
        <v>#NAME?</v>
      </c>
      <c r="Z55" s="47" t="e">
        <f ca="1">bdrateOld($D55:$D58,F55:F58,$L55:$L58,N55:N58)</f>
        <v>#NAME?</v>
      </c>
      <c r="AA55" s="48" t="e">
        <f ca="1">bdrateOld($D55:$D58,G55:G58,$L55:$L58,O55:O58)</f>
        <v>#NAME?</v>
      </c>
      <c r="AB55" s="54"/>
      <c r="AC55" s="12"/>
      <c r="AD55" s="13"/>
      <c r="AE55" s="13"/>
      <c r="AF55" s="13"/>
      <c r="AG55" s="13"/>
      <c r="AH55" s="13"/>
      <c r="AI55" s="14"/>
      <c r="AJ55" s="13" t="e">
        <f t="shared" si="1"/>
        <v>#DIV/0!</v>
      </c>
      <c r="AK55" s="13" t="e">
        <f t="shared" si="2"/>
        <v>#DIV/0!</v>
      </c>
      <c r="AL55" s="54"/>
      <c r="AM55" s="42" t="e">
        <f ca="1">bdrate($AC55:$AC58,AD55:AD58,$L55:$L58, M55:M58)</f>
        <v>#NAME?</v>
      </c>
      <c r="AN55" s="47" t="e">
        <f ca="1">bdrate($AC55:$AC58,AE55:AE58,$L55:$L58, N55:N58)</f>
        <v>#NAME?</v>
      </c>
      <c r="AO55" s="48" t="e">
        <f ca="1">bdrate($AC55:$AC58,AF55:AF58,$L55:$L58, O55:O58)</f>
        <v>#NAME?</v>
      </c>
      <c r="AP55" s="42" t="e">
        <f ca="1">bdrateOld($AC55:$AC58,AD55:AD58,$L55:$L58, M55:M58)</f>
        <v>#NAME?</v>
      </c>
      <c r="AQ55" s="47" t="e">
        <f ca="1">bdrateOld($AC55:$AC58,AE55:AE58,$L55:$L58, N55:N58)</f>
        <v>#NAME?</v>
      </c>
      <c r="AR55" s="48" t="e">
        <f ca="1">bdrateOld($AC55:$AC58,AF55:AF58,$L55:$L58, O55:O58)</f>
        <v>#NAME?</v>
      </c>
    </row>
    <row r="56" spans="1:44">
      <c r="A56" s="16" t="s">
        <v>53</v>
      </c>
      <c r="B56" s="16"/>
      <c r="C56" s="16">
        <v>27</v>
      </c>
      <c r="D56" s="17">
        <v>1427.6048000000001</v>
      </c>
      <c r="E56" s="18">
        <v>38.032034400000001</v>
      </c>
      <c r="F56" s="18">
        <v>41.399201399999903</v>
      </c>
      <c r="G56" s="18">
        <v>41.7361656</v>
      </c>
      <c r="H56" s="18">
        <v>17827.139999999901</v>
      </c>
      <c r="I56" s="18">
        <v>42.608999999999902</v>
      </c>
      <c r="J56" s="19">
        <v>20.400075000000001</v>
      </c>
      <c r="K56" s="27"/>
      <c r="L56" s="17"/>
      <c r="M56" s="18"/>
      <c r="N56" s="18"/>
      <c r="O56" s="18"/>
      <c r="P56" s="18"/>
      <c r="Q56" s="18"/>
      <c r="R56" s="19"/>
      <c r="S56" s="18">
        <f t="shared" si="11"/>
        <v>0</v>
      </c>
      <c r="T56" s="18">
        <f t="shared" si="11"/>
        <v>0</v>
      </c>
      <c r="U56" s="102"/>
      <c r="V56" s="107"/>
      <c r="W56" s="108"/>
      <c r="X56" s="109"/>
      <c r="Y56" s="43"/>
      <c r="Z56" s="26"/>
      <c r="AA56" s="55"/>
      <c r="AB56" s="20"/>
      <c r="AC56" s="17"/>
      <c r="AD56" s="18"/>
      <c r="AE56" s="18"/>
      <c r="AF56" s="18"/>
      <c r="AG56" s="18"/>
      <c r="AH56" s="18"/>
      <c r="AI56" s="19"/>
      <c r="AJ56" s="18" t="e">
        <f t="shared" si="1"/>
        <v>#DIV/0!</v>
      </c>
      <c r="AK56" s="18" t="e">
        <f t="shared" si="2"/>
        <v>#DIV/0!</v>
      </c>
      <c r="AL56" s="20"/>
      <c r="AM56" s="43"/>
      <c r="AN56" s="26"/>
      <c r="AO56" s="55"/>
      <c r="AP56" s="43"/>
      <c r="AQ56" s="26"/>
      <c r="AR56" s="55"/>
    </row>
    <row r="57" spans="1:44">
      <c r="A57" s="16"/>
      <c r="B57" s="16"/>
      <c r="C57" s="16">
        <v>32</v>
      </c>
      <c r="D57" s="17">
        <v>723.40719999999999</v>
      </c>
      <c r="E57" s="18">
        <v>35.112883199999999</v>
      </c>
      <c r="F57" s="18">
        <v>39.666261400000003</v>
      </c>
      <c r="G57" s="18">
        <v>39.824017599999998</v>
      </c>
      <c r="H57" s="18">
        <v>14332.298000000001</v>
      </c>
      <c r="I57" s="18">
        <v>40.203999999999901</v>
      </c>
      <c r="J57" s="19">
        <v>16.76101388888889</v>
      </c>
      <c r="K57" s="27"/>
      <c r="L57" s="17"/>
      <c r="M57" s="18"/>
      <c r="N57" s="18"/>
      <c r="O57" s="18"/>
      <c r="P57" s="18"/>
      <c r="Q57" s="18"/>
      <c r="R57" s="19"/>
      <c r="S57" s="18">
        <f t="shared" si="11"/>
        <v>0</v>
      </c>
      <c r="T57" s="18">
        <f t="shared" si="11"/>
        <v>0</v>
      </c>
      <c r="U57" s="102"/>
      <c r="V57" s="107"/>
      <c r="W57" s="108"/>
      <c r="X57" s="109"/>
      <c r="Y57" s="43"/>
      <c r="Z57" s="26"/>
      <c r="AA57" s="55"/>
      <c r="AB57" s="20"/>
      <c r="AC57" s="17"/>
      <c r="AD57" s="18"/>
      <c r="AE57" s="18"/>
      <c r="AF57" s="18"/>
      <c r="AG57" s="18"/>
      <c r="AH57" s="18"/>
      <c r="AI57" s="19"/>
      <c r="AJ57" s="18" t="e">
        <f t="shared" si="1"/>
        <v>#DIV/0!</v>
      </c>
      <c r="AK57" s="18" t="e">
        <f t="shared" si="2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>
      <c r="A58" s="16"/>
      <c r="B58" s="21"/>
      <c r="C58" s="21">
        <v>37</v>
      </c>
      <c r="D58" s="22">
        <v>372.012</v>
      </c>
      <c r="E58" s="23">
        <v>32.4818736</v>
      </c>
      <c r="F58" s="23">
        <v>38.069967599999998</v>
      </c>
      <c r="G58" s="23">
        <v>38.0281132</v>
      </c>
      <c r="H58" s="23">
        <v>12039.251</v>
      </c>
      <c r="I58" s="23">
        <v>38.890999999999998</v>
      </c>
      <c r="J58" s="24">
        <v>13.585949999999999</v>
      </c>
      <c r="K58" s="27"/>
      <c r="L58" s="22"/>
      <c r="M58" s="23"/>
      <c r="N58" s="23"/>
      <c r="O58" s="23"/>
      <c r="P58" s="23"/>
      <c r="Q58" s="23"/>
      <c r="R58" s="24"/>
      <c r="S58" s="18">
        <f t="shared" si="11"/>
        <v>0</v>
      </c>
      <c r="T58" s="18">
        <f t="shared" si="11"/>
        <v>0</v>
      </c>
      <c r="U58" s="102"/>
      <c r="V58" s="110"/>
      <c r="W58" s="111"/>
      <c r="X58" s="112"/>
      <c r="Y58" s="44"/>
      <c r="Z58" s="56"/>
      <c r="AA58" s="57"/>
      <c r="AB58" s="20"/>
      <c r="AC58" s="22"/>
      <c r="AD58" s="23"/>
      <c r="AE58" s="23"/>
      <c r="AF58" s="23"/>
      <c r="AG58" s="23"/>
      <c r="AH58" s="23"/>
      <c r="AI58" s="24"/>
      <c r="AJ58" s="18" t="e">
        <f t="shared" si="1"/>
        <v>#DIV/0!</v>
      </c>
      <c r="AK58" s="18" t="e">
        <f t="shared" si="2"/>
        <v>#DIV/0!</v>
      </c>
      <c r="AL58" s="20"/>
      <c r="AM58" s="44"/>
      <c r="AN58" s="56"/>
      <c r="AO58" s="57"/>
      <c r="AP58" s="44"/>
      <c r="AQ58" s="56"/>
      <c r="AR58" s="57"/>
    </row>
    <row r="59" spans="1:44">
      <c r="A59" s="16"/>
      <c r="B59" s="11" t="s">
        <v>42</v>
      </c>
      <c r="C59" s="11">
        <v>22</v>
      </c>
      <c r="D59" s="12">
        <v>3119.2456000000002</v>
      </c>
      <c r="E59" s="13">
        <v>40.435582499999903</v>
      </c>
      <c r="F59" s="13">
        <v>43.802493499999997</v>
      </c>
      <c r="G59" s="13">
        <v>45.5453676666666</v>
      </c>
      <c r="H59" s="13">
        <v>19982.251</v>
      </c>
      <c r="I59" s="13">
        <v>57.110999999999997</v>
      </c>
      <c r="J59" s="14">
        <v>24.874905555555557</v>
      </c>
      <c r="K59" s="27"/>
      <c r="L59" s="12"/>
      <c r="M59" s="13"/>
      <c r="N59" s="13"/>
      <c r="O59" s="13"/>
      <c r="P59" s="13"/>
      <c r="Q59" s="13"/>
      <c r="R59" s="14"/>
      <c r="S59" s="18">
        <f t="shared" si="11"/>
        <v>0</v>
      </c>
      <c r="T59" s="18">
        <f t="shared" si="11"/>
        <v>0</v>
      </c>
      <c r="U59" s="102"/>
      <c r="V59" s="104" t="e">
        <f ca="1">bdrate($D59:$D62,E59:E62,$L59:$L62,M59:M62)</f>
        <v>#NAME?</v>
      </c>
      <c r="W59" s="105" t="e">
        <f ca="1">bdrate($D59:$D62,F59:F62,$L59:$L62,N59:N62)</f>
        <v>#NAME?</v>
      </c>
      <c r="X59" s="105" t="e">
        <f ca="1">bdrate($D59:$D62,G59:G62,$L59:$L62,O59:O62)</f>
        <v>#NAME?</v>
      </c>
      <c r="Y59" s="45" t="e">
        <f ca="1">bdrateOld($D59:$D62,E59:E62,$L59:$L62,M59:M62)</f>
        <v>#NAME?</v>
      </c>
      <c r="Z59" s="49" t="e">
        <f ca="1">bdrateOld($D59:$D62,F59:F62,$L59:$L62,N59:N62)</f>
        <v>#NAME?</v>
      </c>
      <c r="AA59" s="50" t="e">
        <f ca="1">bdrateOld($D59:$D62,G59:G62,$L59:$L62,O59:O62)</f>
        <v>#NAME?</v>
      </c>
      <c r="AB59" s="20"/>
      <c r="AC59" s="12"/>
      <c r="AD59" s="13"/>
      <c r="AE59" s="13"/>
      <c r="AF59" s="13"/>
      <c r="AG59" s="13"/>
      <c r="AH59" s="13"/>
      <c r="AI59" s="14"/>
      <c r="AJ59" s="18" t="e">
        <f t="shared" si="1"/>
        <v>#DIV/0!</v>
      </c>
      <c r="AK59" s="18" t="e">
        <f t="shared" si="2"/>
        <v>#DIV/0!</v>
      </c>
      <c r="AL59" s="20"/>
      <c r="AM59" s="42" t="e">
        <f ca="1">bdrate($AC59:$AC62,AD59:AD62,$L59:$L62, M59:M62)</f>
        <v>#NAME?</v>
      </c>
      <c r="AN59" s="47" t="e">
        <f ca="1">bdrate($AC59:$AC62,AE59:AE62,$L59:$L62, N59:N62)</f>
        <v>#NAME?</v>
      </c>
      <c r="AO59" s="48" t="e">
        <f ca="1">bdrate($AC59:$AC62,AF59:AF62,$L59:$L62, O59:O62)</f>
        <v>#NAME?</v>
      </c>
      <c r="AP59" s="42" t="e">
        <f ca="1">bdrateOld($AC59:$AC62,AD59:AD62,$L59:$L62, M59:M62)</f>
        <v>#NAME?</v>
      </c>
      <c r="AQ59" s="47" t="e">
        <f ca="1">bdrateOld($AC59:$AC62,AE59:AE62,$L59:$L62, N59:N62)</f>
        <v>#NAME?</v>
      </c>
      <c r="AR59" s="48" t="e">
        <f ca="1">bdrateOld($AC59:$AC62,AF59:AF62,$L59:$L62, O59:O62)</f>
        <v>#NAME?</v>
      </c>
    </row>
    <row r="60" spans="1:44">
      <c r="A60" s="16"/>
      <c r="B60" s="16"/>
      <c r="C60" s="16">
        <v>27</v>
      </c>
      <c r="D60" s="17">
        <v>1427.52</v>
      </c>
      <c r="E60" s="18">
        <v>37.906867333333302</v>
      </c>
      <c r="F60" s="18">
        <v>42.125470333333297</v>
      </c>
      <c r="G60" s="18">
        <v>43.486439333333301</v>
      </c>
      <c r="H60" s="18">
        <v>16057.0019999999</v>
      </c>
      <c r="I60" s="18">
        <v>52.267000000000003</v>
      </c>
      <c r="J60" s="19">
        <v>19.514677777777777</v>
      </c>
      <c r="K60" s="27"/>
      <c r="L60" s="17"/>
      <c r="M60" s="18"/>
      <c r="N60" s="18"/>
      <c r="O60" s="18"/>
      <c r="P60" s="18"/>
      <c r="Q60" s="18"/>
      <c r="R60" s="19"/>
      <c r="S60" s="18">
        <f t="shared" si="11"/>
        <v>0</v>
      </c>
      <c r="T60" s="18">
        <f t="shared" si="11"/>
        <v>0</v>
      </c>
      <c r="U60" s="102"/>
      <c r="V60" s="107"/>
      <c r="W60" s="108"/>
      <c r="X60" s="108"/>
      <c r="Y60" s="43"/>
      <c r="Z60" s="26"/>
      <c r="AA60" s="55"/>
      <c r="AB60" s="20"/>
      <c r="AC60" s="17"/>
      <c r="AD60" s="18"/>
      <c r="AE60" s="18"/>
      <c r="AF60" s="18"/>
      <c r="AG60" s="18"/>
      <c r="AH60" s="18"/>
      <c r="AI60" s="19"/>
      <c r="AJ60" s="18" t="e">
        <f t="shared" si="1"/>
        <v>#DIV/0!</v>
      </c>
      <c r="AK60" s="18" t="e">
        <f t="shared" si="2"/>
        <v>#DIV/0!</v>
      </c>
      <c r="AL60" s="20"/>
      <c r="AM60" s="43"/>
      <c r="AN60" s="26"/>
      <c r="AO60" s="55"/>
      <c r="AP60" s="43"/>
      <c r="AQ60" s="26"/>
      <c r="AR60" s="55"/>
    </row>
    <row r="61" spans="1:44">
      <c r="A61" s="16"/>
      <c r="B61" s="16"/>
      <c r="C61" s="16">
        <v>32</v>
      </c>
      <c r="D61" s="17">
        <v>727.93200000000002</v>
      </c>
      <c r="E61" s="18">
        <v>35.238452500000001</v>
      </c>
      <c r="F61" s="18">
        <v>40.6123986666666</v>
      </c>
      <c r="G61" s="18">
        <v>41.703820666666601</v>
      </c>
      <c r="H61" s="18">
        <v>13236.718999999999</v>
      </c>
      <c r="I61" s="18">
        <v>48.656999999999996</v>
      </c>
      <c r="J61" s="19">
        <v>15.977813888888889</v>
      </c>
      <c r="K61" s="27"/>
      <c r="L61" s="17"/>
      <c r="M61" s="18"/>
      <c r="N61" s="18"/>
      <c r="O61" s="18"/>
      <c r="P61" s="18"/>
      <c r="Q61" s="18"/>
      <c r="R61" s="19"/>
      <c r="S61" s="18">
        <f t="shared" si="11"/>
        <v>0</v>
      </c>
      <c r="T61" s="18">
        <f t="shared" si="11"/>
        <v>0</v>
      </c>
      <c r="U61" s="102"/>
      <c r="V61" s="107"/>
      <c r="W61" s="108"/>
      <c r="X61" s="108"/>
      <c r="Y61" s="43"/>
      <c r="Z61" s="26"/>
      <c r="AA61" s="55"/>
      <c r="AB61" s="20"/>
      <c r="AC61" s="17"/>
      <c r="AD61" s="18"/>
      <c r="AE61" s="18"/>
      <c r="AF61" s="18"/>
      <c r="AG61" s="18"/>
      <c r="AH61" s="18"/>
      <c r="AI61" s="19"/>
      <c r="AJ61" s="18" t="e">
        <f t="shared" si="1"/>
        <v>#DIV/0!</v>
      </c>
      <c r="AK61" s="18" t="e">
        <f t="shared" si="2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>
      <c r="A62" s="16"/>
      <c r="B62" s="21"/>
      <c r="C62" s="21">
        <v>37</v>
      </c>
      <c r="D62" s="22">
        <v>377.47519999999997</v>
      </c>
      <c r="E62" s="23">
        <v>32.464680666666602</v>
      </c>
      <c r="F62" s="23">
        <v>39.400040500000003</v>
      </c>
      <c r="G62" s="23">
        <v>40.271485333333302</v>
      </c>
      <c r="H62" s="23">
        <v>10972.811</v>
      </c>
      <c r="I62" s="23">
        <v>44.671999999999997</v>
      </c>
      <c r="J62" s="24">
        <v>13.174613888888889</v>
      </c>
      <c r="K62" s="27"/>
      <c r="L62" s="22"/>
      <c r="M62" s="23"/>
      <c r="N62" s="23"/>
      <c r="O62" s="23"/>
      <c r="P62" s="23"/>
      <c r="Q62" s="23"/>
      <c r="R62" s="24"/>
      <c r="S62" s="18">
        <f t="shared" si="11"/>
        <v>0</v>
      </c>
      <c r="T62" s="18">
        <f t="shared" si="11"/>
        <v>0</v>
      </c>
      <c r="U62" s="102"/>
      <c r="V62" s="110"/>
      <c r="W62" s="111"/>
      <c r="X62" s="111"/>
      <c r="Y62" s="44"/>
      <c r="Z62" s="56"/>
      <c r="AA62" s="57"/>
      <c r="AB62" s="20"/>
      <c r="AC62" s="22"/>
      <c r="AD62" s="23"/>
      <c r="AE62" s="23"/>
      <c r="AF62" s="23"/>
      <c r="AG62" s="23"/>
      <c r="AH62" s="23"/>
      <c r="AI62" s="24"/>
      <c r="AJ62" s="18" t="e">
        <f t="shared" si="1"/>
        <v>#DIV/0!</v>
      </c>
      <c r="AK62" s="18" t="e">
        <f t="shared" si="2"/>
        <v>#DIV/0!</v>
      </c>
      <c r="AL62" s="20"/>
      <c r="AM62" s="44"/>
      <c r="AN62" s="56"/>
      <c r="AO62" s="57"/>
      <c r="AP62" s="44"/>
      <c r="AQ62" s="56"/>
      <c r="AR62" s="57"/>
    </row>
    <row r="63" spans="1:44">
      <c r="A63" s="16"/>
      <c r="B63" s="11" t="s">
        <v>59</v>
      </c>
      <c r="C63" s="11">
        <v>22</v>
      </c>
      <c r="D63" s="12">
        <v>5990.1959999999999</v>
      </c>
      <c r="E63" s="13">
        <v>38.715548200000001</v>
      </c>
      <c r="F63" s="13">
        <v>41.846741799999997</v>
      </c>
      <c r="G63" s="13">
        <v>43.125050999999999</v>
      </c>
      <c r="H63" s="13">
        <v>19357.892999999902</v>
      </c>
      <c r="I63" s="13">
        <v>57.921999999999997</v>
      </c>
      <c r="J63" s="14">
        <v>24.796497222222222</v>
      </c>
      <c r="K63" s="27"/>
      <c r="L63" s="12"/>
      <c r="M63" s="13"/>
      <c r="N63" s="13"/>
      <c r="O63" s="13"/>
      <c r="P63" s="13"/>
      <c r="Q63" s="13"/>
      <c r="R63" s="14"/>
      <c r="S63" s="18">
        <f t="shared" si="11"/>
        <v>0</v>
      </c>
      <c r="T63" s="18">
        <f t="shared" si="11"/>
        <v>0</v>
      </c>
      <c r="U63" s="102"/>
      <c r="V63" s="104" t="e">
        <f ca="1">bdrate($D63:$D66,E63:E66,$L63:$L66,M63:M66)</f>
        <v>#NAME?</v>
      </c>
      <c r="W63" s="105" t="e">
        <f ca="1">bdrate($D63:$D66,F63:F66,$L63:$L66,N63:N66)</f>
        <v>#NAME?</v>
      </c>
      <c r="X63" s="105" t="e">
        <f ca="1">bdrate($D63:$D66,G63:G66,$L63:$L66,O63:O66)</f>
        <v>#NAME?</v>
      </c>
      <c r="Y63" s="45" t="e">
        <f ca="1">bdrateOld($D63:$D66,E63:E66,$L63:$L66,M63:M66)</f>
        <v>#NAME?</v>
      </c>
      <c r="Z63" s="49" t="e">
        <f ca="1">bdrateOld($D63:$D66,F63:F66,$L63:$L66,N63:N66)</f>
        <v>#NAME?</v>
      </c>
      <c r="AA63" s="50" t="e">
        <f ca="1">bdrateOld($D63:$D66,G63:G66,$L63:$L66,O63:O66)</f>
        <v>#NAME?</v>
      </c>
      <c r="AB63" s="20"/>
      <c r="AC63" s="12"/>
      <c r="AD63" s="13"/>
      <c r="AE63" s="13"/>
      <c r="AF63" s="13"/>
      <c r="AG63" s="13"/>
      <c r="AH63" s="13"/>
      <c r="AI63" s="14"/>
      <c r="AJ63" s="18" t="e">
        <f t="shared" si="1"/>
        <v>#DIV/0!</v>
      </c>
      <c r="AK63" s="18" t="e">
        <f t="shared" si="2"/>
        <v>#DIV/0!</v>
      </c>
      <c r="AL63" s="20"/>
      <c r="AM63" s="42" t="e">
        <f ca="1">bdrate($AC63:$AC66,AD63:AD66,$L63:$L66, M63:M66)</f>
        <v>#NAME?</v>
      </c>
      <c r="AN63" s="47" t="e">
        <f ca="1">bdrate($AC63:$AC66,AE63:AE66,$L63:$L66, N63:N66)</f>
        <v>#NAME?</v>
      </c>
      <c r="AO63" s="48" t="e">
        <f ca="1">bdrate($AC63:$AC66,AF63:AF66,$L63:$L66, O63:O66)</f>
        <v>#NAME?</v>
      </c>
      <c r="AP63" s="42" t="e">
        <f ca="1">bdrateOld($AC63:$AC66,AD63:AD66,$L63:$L66, M63:M66)</f>
        <v>#NAME?</v>
      </c>
      <c r="AQ63" s="47" t="e">
        <f ca="1">bdrateOld($AC63:$AC66,AE63:AE66,$L63:$L66, N63:N66)</f>
        <v>#NAME?</v>
      </c>
      <c r="AR63" s="48" t="e">
        <f ca="1">bdrateOld($AC63:$AC66,AF63:AF66,$L63:$L66, O63:O66)</f>
        <v>#NAME?</v>
      </c>
    </row>
    <row r="64" spans="1:44">
      <c r="A64" s="16"/>
      <c r="B64" s="16"/>
      <c r="C64" s="16">
        <v>27</v>
      </c>
      <c r="D64" s="17">
        <v>2677.7048</v>
      </c>
      <c r="E64" s="18">
        <v>35.245947399999999</v>
      </c>
      <c r="F64" s="18">
        <v>39.623665799999998</v>
      </c>
      <c r="G64" s="18">
        <v>40.734964999999903</v>
      </c>
      <c r="H64" s="18">
        <v>14958.954</v>
      </c>
      <c r="I64" s="18">
        <v>49.703000000000003</v>
      </c>
      <c r="J64" s="19">
        <v>19.088616666666667</v>
      </c>
      <c r="K64" s="27"/>
      <c r="L64" s="17"/>
      <c r="M64" s="18"/>
      <c r="N64" s="18"/>
      <c r="O64" s="18"/>
      <c r="P64" s="18"/>
      <c r="Q64" s="18"/>
      <c r="R64" s="19"/>
      <c r="S64" s="18">
        <f t="shared" si="11"/>
        <v>0</v>
      </c>
      <c r="T64" s="18">
        <f t="shared" si="11"/>
        <v>0</v>
      </c>
      <c r="U64" s="102"/>
      <c r="V64" s="107"/>
      <c r="W64" s="108"/>
      <c r="X64" s="108"/>
      <c r="Y64" s="43"/>
      <c r="Z64" s="26"/>
      <c r="AA64" s="55"/>
      <c r="AB64" s="20"/>
      <c r="AC64" s="17"/>
      <c r="AD64" s="18"/>
      <c r="AE64" s="18"/>
      <c r="AF64" s="18"/>
      <c r="AG64" s="18"/>
      <c r="AH64" s="18"/>
      <c r="AI64" s="19"/>
      <c r="AJ64" s="18" t="e">
        <f t="shared" si="1"/>
        <v>#DIV/0!</v>
      </c>
      <c r="AK64" s="18" t="e">
        <f t="shared" si="2"/>
        <v>#DIV/0!</v>
      </c>
      <c r="AL64" s="20"/>
      <c r="AM64" s="43"/>
      <c r="AN64" s="26"/>
      <c r="AO64" s="55"/>
      <c r="AP64" s="43"/>
      <c r="AQ64" s="26"/>
      <c r="AR64" s="55"/>
    </row>
    <row r="65" spans="1:44">
      <c r="A65" s="16"/>
      <c r="B65" s="16"/>
      <c r="C65" s="16">
        <v>32</v>
      </c>
      <c r="D65" s="17">
        <v>1298.94</v>
      </c>
      <c r="E65" s="18">
        <v>32.170876999999997</v>
      </c>
      <c r="F65" s="18">
        <v>37.900856399999903</v>
      </c>
      <c r="G65" s="18">
        <v>38.845835999999998</v>
      </c>
      <c r="H65" s="18">
        <v>12114.703</v>
      </c>
      <c r="I65" s="18">
        <v>44.797999999999902</v>
      </c>
      <c r="J65" s="19">
        <v>16.088344444444445</v>
      </c>
      <c r="K65" s="27"/>
      <c r="L65" s="17"/>
      <c r="M65" s="18"/>
      <c r="N65" s="18"/>
      <c r="O65" s="18"/>
      <c r="P65" s="18"/>
      <c r="Q65" s="18"/>
      <c r="R65" s="19"/>
      <c r="S65" s="18">
        <f t="shared" si="11"/>
        <v>0</v>
      </c>
      <c r="T65" s="18">
        <f t="shared" si="11"/>
        <v>0</v>
      </c>
      <c r="U65" s="102"/>
      <c r="V65" s="107"/>
      <c r="W65" s="108"/>
      <c r="X65" s="108"/>
      <c r="Y65" s="43"/>
      <c r="Z65" s="26"/>
      <c r="AA65" s="55"/>
      <c r="AB65" s="20"/>
      <c r="AC65" s="17"/>
      <c r="AD65" s="18"/>
      <c r="AE65" s="18"/>
      <c r="AF65" s="18"/>
      <c r="AG65" s="18"/>
      <c r="AH65" s="18"/>
      <c r="AI65" s="19"/>
      <c r="AJ65" s="18" t="e">
        <f t="shared" si="1"/>
        <v>#DIV/0!</v>
      </c>
      <c r="AK65" s="18" t="e">
        <f t="shared" si="2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>
      <c r="A66" s="16"/>
      <c r="B66" s="21"/>
      <c r="C66" s="21">
        <v>37</v>
      </c>
      <c r="D66" s="22">
        <v>611.07359999999903</v>
      </c>
      <c r="E66" s="23">
        <v>29.276052199999999</v>
      </c>
      <c r="F66" s="23">
        <v>36.440613599999999</v>
      </c>
      <c r="G66" s="23">
        <v>37.195118999999998</v>
      </c>
      <c r="H66" s="23">
        <v>9484.89</v>
      </c>
      <c r="I66" s="23">
        <v>43.000999999999998</v>
      </c>
      <c r="J66" s="24">
        <v>12.772033333333333</v>
      </c>
      <c r="K66" s="27"/>
      <c r="L66" s="22"/>
      <c r="M66" s="23"/>
      <c r="N66" s="23"/>
      <c r="O66" s="23"/>
      <c r="P66" s="23"/>
      <c r="Q66" s="23"/>
      <c r="R66" s="24"/>
      <c r="S66" s="18">
        <f t="shared" si="11"/>
        <v>0</v>
      </c>
      <c r="T66" s="18">
        <f t="shared" si="11"/>
        <v>0</v>
      </c>
      <c r="U66" s="102"/>
      <c r="V66" s="110"/>
      <c r="W66" s="111"/>
      <c r="X66" s="111"/>
      <c r="Y66" s="44"/>
      <c r="Z66" s="56"/>
      <c r="AA66" s="57"/>
      <c r="AB66" s="20"/>
      <c r="AC66" s="22"/>
      <c r="AD66" s="23"/>
      <c r="AE66" s="23"/>
      <c r="AF66" s="23"/>
      <c r="AG66" s="23"/>
      <c r="AH66" s="23"/>
      <c r="AI66" s="24"/>
      <c r="AJ66" s="18" t="e">
        <f t="shared" si="1"/>
        <v>#DIV/0!</v>
      </c>
      <c r="AK66" s="18" t="e">
        <f t="shared" si="2"/>
        <v>#DIV/0!</v>
      </c>
      <c r="AL66" s="20"/>
      <c r="AM66" s="44"/>
      <c r="AN66" s="56"/>
      <c r="AO66" s="57"/>
      <c r="AP66" s="44"/>
      <c r="AQ66" s="56"/>
      <c r="AR66" s="57"/>
    </row>
    <row r="67" spans="1:44">
      <c r="A67" s="16"/>
      <c r="B67" s="11" t="s">
        <v>60</v>
      </c>
      <c r="C67" s="11">
        <v>22</v>
      </c>
      <c r="D67" s="12">
        <v>4374.3263999999999</v>
      </c>
      <c r="E67" s="13">
        <v>39.277985999999999</v>
      </c>
      <c r="F67" s="13">
        <v>41.170917000000003</v>
      </c>
      <c r="G67" s="13">
        <v>42.776470666666597</v>
      </c>
      <c r="H67" s="13">
        <v>22204.954000000002</v>
      </c>
      <c r="I67" s="13">
        <v>37.5</v>
      </c>
      <c r="J67" s="14">
        <v>24.231072222222224</v>
      </c>
      <c r="K67" s="27"/>
      <c r="L67" s="12"/>
      <c r="M67" s="13"/>
      <c r="N67" s="13"/>
      <c r="O67" s="13"/>
      <c r="P67" s="13"/>
      <c r="Q67" s="13"/>
      <c r="R67" s="14"/>
      <c r="S67" s="18">
        <f t="shared" si="11"/>
        <v>0</v>
      </c>
      <c r="T67" s="18">
        <f t="shared" si="11"/>
        <v>0</v>
      </c>
      <c r="U67" s="102"/>
      <c r="V67" s="104" t="e">
        <f ca="1">bdrate($D67:$D70,E67:E70,$L67:$L70,M67:M70)</f>
        <v>#NAME?</v>
      </c>
      <c r="W67" s="105" t="e">
        <f ca="1">bdrate($D67:$D70,F67:F70,$L67:$L70,N67:N70)</f>
        <v>#NAME?</v>
      </c>
      <c r="X67" s="105" t="e">
        <f ca="1">bdrate($D67:$D70,G67:G70,$L67:$L70,O67:O70)</f>
        <v>#NAME?</v>
      </c>
      <c r="Y67" s="45" t="e">
        <f ca="1">bdrateOld($D67:$D70,E67:E70,$L67:$L70,M67:M70)</f>
        <v>#NAME?</v>
      </c>
      <c r="Z67" s="49" t="e">
        <f ca="1">bdrateOld($D67:$D70,F67:F70,$L67:$L70,N67:N70)</f>
        <v>#NAME?</v>
      </c>
      <c r="AA67" s="50" t="e">
        <f ca="1">bdrateOld($D67:$D70,G67:G70,$L67:$L70,O67:O70)</f>
        <v>#NAME?</v>
      </c>
      <c r="AB67" s="20"/>
      <c r="AC67" s="12"/>
      <c r="AD67" s="13"/>
      <c r="AE67" s="13"/>
      <c r="AF67" s="13"/>
      <c r="AG67" s="13"/>
      <c r="AH67" s="13"/>
      <c r="AI67" s="14"/>
      <c r="AJ67" s="18" t="e">
        <f t="shared" si="1"/>
        <v>#DIV/0!</v>
      </c>
      <c r="AK67" s="18" t="e">
        <f t="shared" si="2"/>
        <v>#DIV/0!</v>
      </c>
      <c r="AL67" s="20"/>
      <c r="AM67" s="42" t="e">
        <f ca="1">bdrate($AC67:$AC70,AD67:AD70,$L67:$L70, M67:M70)</f>
        <v>#NAME?</v>
      </c>
      <c r="AN67" s="47" t="e">
        <f ca="1">bdrate($AC67:$AC70,AE67:AE70,$L67:$L70, N67:N70)</f>
        <v>#NAME?</v>
      </c>
      <c r="AO67" s="48" t="e">
        <f ca="1">bdrate($AC67:$AC70,AF67:AF70,$L67:$L70, O67:O70)</f>
        <v>#NAME?</v>
      </c>
      <c r="AP67" s="42" t="e">
        <f ca="1">bdrateOld($AC67:$AC70,AD67:AD70,$L67:$L70, M67:M70)</f>
        <v>#NAME?</v>
      </c>
      <c r="AQ67" s="47" t="e">
        <f ca="1">bdrateOld($AC67:$AC70,AE67:AE70,$L67:$L70, N67:N70)</f>
        <v>#NAME?</v>
      </c>
      <c r="AR67" s="48" t="e">
        <f ca="1">bdrateOld($AC67:$AC70,AF67:AF70,$L67:$L70, O67:O70)</f>
        <v>#NAME?</v>
      </c>
    </row>
    <row r="68" spans="1:44">
      <c r="A68" s="16"/>
      <c r="B68" s="16"/>
      <c r="C68" s="16">
        <v>27</v>
      </c>
      <c r="D68" s="17">
        <v>1738.136</v>
      </c>
      <c r="E68" s="18">
        <v>35.910921000000002</v>
      </c>
      <c r="F68" s="18">
        <v>39.214592666666597</v>
      </c>
      <c r="G68" s="18">
        <v>40.874227333333302</v>
      </c>
      <c r="H68" s="18">
        <v>17000.971000000001</v>
      </c>
      <c r="I68" s="18">
        <v>30.596999999999898</v>
      </c>
      <c r="J68" s="19">
        <v>18.463552777777775</v>
      </c>
      <c r="K68" s="27"/>
      <c r="L68" s="17"/>
      <c r="M68" s="18"/>
      <c r="N68" s="18"/>
      <c r="O68" s="18"/>
      <c r="P68" s="18"/>
      <c r="Q68" s="18"/>
      <c r="R68" s="19"/>
      <c r="S68" s="18">
        <f t="shared" si="11"/>
        <v>0</v>
      </c>
      <c r="T68" s="18">
        <f t="shared" si="11"/>
        <v>0</v>
      </c>
      <c r="U68" s="102"/>
      <c r="V68" s="107"/>
      <c r="W68" s="108"/>
      <c r="X68" s="108"/>
      <c r="Y68" s="43"/>
      <c r="Z68" s="26"/>
      <c r="AA68" s="55"/>
      <c r="AB68" s="20"/>
      <c r="AC68" s="17"/>
      <c r="AD68" s="18"/>
      <c r="AE68" s="18"/>
      <c r="AF68" s="18"/>
      <c r="AG68" s="18"/>
      <c r="AH68" s="18"/>
      <c r="AI68" s="19"/>
      <c r="AJ68" s="18" t="e">
        <f t="shared" si="1"/>
        <v>#DIV/0!</v>
      </c>
      <c r="AK68" s="18" t="e">
        <f t="shared" si="2"/>
        <v>#DIV/0!</v>
      </c>
      <c r="AL68" s="20"/>
      <c r="AM68" s="43"/>
      <c r="AN68" s="26"/>
      <c r="AO68" s="55"/>
      <c r="AP68" s="43"/>
      <c r="AQ68" s="26"/>
      <c r="AR68" s="55"/>
    </row>
    <row r="69" spans="1:44">
      <c r="A69" s="16"/>
      <c r="B69" s="16"/>
      <c r="C69" s="16">
        <v>32</v>
      </c>
      <c r="D69" s="17">
        <v>831.98319999999899</v>
      </c>
      <c r="E69" s="18">
        <v>33.182715333333299</v>
      </c>
      <c r="F69" s="18">
        <v>37.632542000000001</v>
      </c>
      <c r="G69" s="18">
        <v>39.440209000000003</v>
      </c>
      <c r="H69" s="18">
        <v>13976.64</v>
      </c>
      <c r="I69" s="18">
        <v>27.922999999999998</v>
      </c>
      <c r="J69" s="19">
        <v>15.232405555555557</v>
      </c>
      <c r="K69" s="27"/>
      <c r="L69" s="17"/>
      <c r="M69" s="18"/>
      <c r="N69" s="18"/>
      <c r="O69" s="18"/>
      <c r="P69" s="18"/>
      <c r="Q69" s="18"/>
      <c r="R69" s="19"/>
      <c r="S69" s="18">
        <f t="shared" si="11"/>
        <v>0</v>
      </c>
      <c r="T69" s="18">
        <f t="shared" si="11"/>
        <v>0</v>
      </c>
      <c r="U69" s="102"/>
      <c r="V69" s="107"/>
      <c r="W69" s="108"/>
      <c r="X69" s="108"/>
      <c r="Y69" s="43"/>
      <c r="Z69" s="26"/>
      <c r="AA69" s="55"/>
      <c r="AB69" s="20"/>
      <c r="AC69" s="17"/>
      <c r="AD69" s="18"/>
      <c r="AE69" s="18"/>
      <c r="AF69" s="18"/>
      <c r="AG69" s="18"/>
      <c r="AH69" s="18"/>
      <c r="AI69" s="19"/>
      <c r="AJ69" s="18" t="e">
        <f t="shared" si="1"/>
        <v>#DIV/0!</v>
      </c>
      <c r="AK69" s="18" t="e">
        <f t="shared" si="2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>
      <c r="A70" s="21"/>
      <c r="B70" s="21"/>
      <c r="C70" s="21">
        <v>37</v>
      </c>
      <c r="D70" s="22">
        <v>400.1816</v>
      </c>
      <c r="E70" s="23">
        <v>30.509133333333299</v>
      </c>
      <c r="F70" s="23">
        <v>36.233165333333297</v>
      </c>
      <c r="G70" s="23">
        <v>38.117958666666603</v>
      </c>
      <c r="H70" s="23">
        <v>10981.704</v>
      </c>
      <c r="I70" s="23">
        <v>27.076999999999899</v>
      </c>
      <c r="J70" s="24">
        <v>11.881769444444446</v>
      </c>
      <c r="K70" s="27"/>
      <c r="L70" s="22"/>
      <c r="M70" s="23"/>
      <c r="N70" s="23"/>
      <c r="O70" s="23"/>
      <c r="P70" s="23"/>
      <c r="Q70" s="23"/>
      <c r="R70" s="24"/>
      <c r="S70" s="23">
        <f t="shared" si="11"/>
        <v>0</v>
      </c>
      <c r="T70" s="23">
        <f t="shared" si="11"/>
        <v>0</v>
      </c>
      <c r="U70" s="103"/>
      <c r="V70" s="110"/>
      <c r="W70" s="111"/>
      <c r="X70" s="111"/>
      <c r="Y70" s="44"/>
      <c r="Z70" s="56"/>
      <c r="AA70" s="57"/>
      <c r="AB70" s="25"/>
      <c r="AC70" s="22"/>
      <c r="AD70" s="23"/>
      <c r="AE70" s="23"/>
      <c r="AF70" s="23"/>
      <c r="AG70" s="23"/>
      <c r="AH70" s="23"/>
      <c r="AI70" s="24"/>
      <c r="AJ70" s="23" t="e">
        <f t="shared" si="1"/>
        <v>#DIV/0!</v>
      </c>
      <c r="AK70" s="23" t="e">
        <f t="shared" si="2"/>
        <v>#DIV/0!</v>
      </c>
      <c r="AL70" s="25"/>
      <c r="AM70" s="44"/>
      <c r="AN70" s="56"/>
      <c r="AO70" s="57"/>
      <c r="AP70" s="44"/>
      <c r="AQ70" s="56"/>
      <c r="AR70" s="57"/>
    </row>
    <row r="71" spans="1:44">
      <c r="A71" s="11" t="s">
        <v>8</v>
      </c>
      <c r="B71" s="11" t="s">
        <v>61</v>
      </c>
      <c r="C71" s="11">
        <f>C67</f>
        <v>22</v>
      </c>
      <c r="D71" s="12">
        <v>1345.0047999999999</v>
      </c>
      <c r="E71" s="13">
        <v>41.211068400000002</v>
      </c>
      <c r="F71" s="13">
        <v>44.2217658</v>
      </c>
      <c r="G71" s="13">
        <v>43.185773399999903</v>
      </c>
      <c r="H71" s="13">
        <v>6161.9390000000003</v>
      </c>
      <c r="I71" s="13">
        <v>30.126000000000001</v>
      </c>
      <c r="J71" s="14">
        <v>7.7279611111111111</v>
      </c>
      <c r="K71" s="27"/>
      <c r="L71" s="12"/>
      <c r="M71" s="13"/>
      <c r="N71" s="13"/>
      <c r="O71" s="13"/>
      <c r="P71" s="13"/>
      <c r="Q71" s="13"/>
      <c r="R71" s="14"/>
      <c r="S71" s="13">
        <f>P71/H71</f>
        <v>0</v>
      </c>
      <c r="T71" s="13">
        <f t="shared" si="11"/>
        <v>0</v>
      </c>
      <c r="U71" s="101"/>
      <c r="V71" s="104" t="e">
        <f ca="1">bdrate($D71:$D74,E71:E74,$L71:$L74,M71:M74)</f>
        <v>#NAME?</v>
      </c>
      <c r="W71" s="105" t="e">
        <f ca="1">bdrate($D71:$D74,F71:F74,$L71:$L74,N71:N74)</f>
        <v>#NAME?</v>
      </c>
      <c r="X71" s="106" t="e">
        <f ca="1">bdrate($D71:$D74,G71:G74,$L71:$L74,O71:O74)</f>
        <v>#NAME?</v>
      </c>
      <c r="Y71" s="42" t="e">
        <f ca="1">bdrateOld($D71:$D74,E71:E74,$L71:$L74,M71:M74)</f>
        <v>#NAME?</v>
      </c>
      <c r="Z71" s="47" t="e">
        <f ca="1">bdrateOld($D71:$D74,F71:F74,$L71:$L74,N71:N74)</f>
        <v>#NAME?</v>
      </c>
      <c r="AA71" s="48" t="e">
        <f ca="1">bdrateOld($D71:$D74,G71:G74,$L71:$L74,O71:O74)</f>
        <v>#NAME?</v>
      </c>
      <c r="AB71" s="54"/>
      <c r="AC71" s="12"/>
      <c r="AD71" s="13"/>
      <c r="AE71" s="13"/>
      <c r="AF71" s="13"/>
      <c r="AG71" s="13"/>
      <c r="AH71" s="13"/>
      <c r="AI71" s="14"/>
      <c r="AJ71" s="13" t="e">
        <f t="shared" si="1"/>
        <v>#DIV/0!</v>
      </c>
      <c r="AK71" s="13" t="e">
        <f t="shared" si="2"/>
        <v>#DIV/0!</v>
      </c>
      <c r="AL71" s="54"/>
      <c r="AM71" s="42" t="e">
        <f ca="1">bdrate($AC71:$AC74,AD71:AD74,$L71:$L74, M71:M74)</f>
        <v>#NAME?</v>
      </c>
      <c r="AN71" s="47" t="e">
        <f ca="1">bdrate($AC71:$AC74,AE71:AE74,$L71:$L74, N71:N74)</f>
        <v>#NAME?</v>
      </c>
      <c r="AO71" s="48" t="e">
        <f ca="1">bdrate($AC71:$AC74,AF71:AF74,$L71:$L74, O71:O74)</f>
        <v>#NAME?</v>
      </c>
      <c r="AP71" s="42" t="e">
        <f ca="1">bdrateOld($AC71:$AC74,AD71:AD74,$L71:$L74, M71:M74)</f>
        <v>#NAME?</v>
      </c>
      <c r="AQ71" s="47" t="e">
        <f ca="1">bdrateOld($AC71:$AC74,AE71:AE74,$L71:$L74, N71:N74)</f>
        <v>#NAME?</v>
      </c>
      <c r="AR71" s="48" t="e">
        <f ca="1">bdrateOld($AC71:$AC74,AF71:AF74,$L71:$L74, O71:O74)</f>
        <v>#NAME?</v>
      </c>
    </row>
    <row r="72" spans="1:44">
      <c r="A72" s="16" t="s">
        <v>54</v>
      </c>
      <c r="B72" s="16"/>
      <c r="C72" s="16">
        <f>C68</f>
        <v>27</v>
      </c>
      <c r="D72" s="17">
        <v>649.63199999999995</v>
      </c>
      <c r="E72" s="18">
        <v>37.1549148</v>
      </c>
      <c r="F72" s="18">
        <v>41.901442400000001</v>
      </c>
      <c r="G72" s="18">
        <v>40.488021799999999</v>
      </c>
      <c r="H72" s="18">
        <v>5052.4849999999997</v>
      </c>
      <c r="I72" s="18">
        <v>28.953999999999901</v>
      </c>
      <c r="J72" s="19">
        <v>6.3695722222222217</v>
      </c>
      <c r="K72" s="27"/>
      <c r="L72" s="17"/>
      <c r="M72" s="18"/>
      <c r="N72" s="18"/>
      <c r="O72" s="18"/>
      <c r="P72" s="18"/>
      <c r="Q72" s="18"/>
      <c r="R72" s="19"/>
      <c r="S72" s="18">
        <f>P72/H72</f>
        <v>0</v>
      </c>
      <c r="T72" s="18">
        <f t="shared" si="11"/>
        <v>0</v>
      </c>
      <c r="U72" s="102"/>
      <c r="V72" s="107"/>
      <c r="W72" s="108"/>
      <c r="X72" s="109"/>
      <c r="Y72" s="43"/>
      <c r="Z72" s="26"/>
      <c r="AA72" s="55"/>
      <c r="AB72" s="20"/>
      <c r="AC72" s="17"/>
      <c r="AD72" s="18"/>
      <c r="AE72" s="18"/>
      <c r="AF72" s="18"/>
      <c r="AG72" s="18"/>
      <c r="AH72" s="18"/>
      <c r="AI72" s="19"/>
      <c r="AJ72" s="18" t="e">
        <f t="shared" si="1"/>
        <v>#DIV/0!</v>
      </c>
      <c r="AK72" s="18" t="e">
        <f t="shared" si="2"/>
        <v>#DIV/0!</v>
      </c>
      <c r="AL72" s="20"/>
      <c r="AM72" s="43"/>
      <c r="AN72" s="26"/>
      <c r="AO72" s="55"/>
      <c r="AP72" s="43"/>
      <c r="AQ72" s="26"/>
      <c r="AR72" s="55"/>
    </row>
    <row r="73" spans="1:44">
      <c r="A73" s="16"/>
      <c r="B73" s="16"/>
      <c r="C73" s="16">
        <f>C69</f>
        <v>32</v>
      </c>
      <c r="D73" s="17">
        <v>331.54239999999999</v>
      </c>
      <c r="E73" s="18">
        <v>33.832152600000001</v>
      </c>
      <c r="F73" s="18">
        <v>40.107924199999999</v>
      </c>
      <c r="G73" s="18">
        <v>38.516229399999901</v>
      </c>
      <c r="H73" s="18">
        <v>4231.2190000000001</v>
      </c>
      <c r="I73" s="18">
        <v>27.611999999999998</v>
      </c>
      <c r="J73" s="19">
        <v>5.2690611111111112</v>
      </c>
      <c r="K73" s="27"/>
      <c r="L73" s="17"/>
      <c r="M73" s="18"/>
      <c r="N73" s="18"/>
      <c r="O73" s="18"/>
      <c r="P73" s="18"/>
      <c r="Q73" s="18"/>
      <c r="R73" s="19"/>
      <c r="S73" s="18">
        <f>P73/H73</f>
        <v>0</v>
      </c>
      <c r="T73" s="18">
        <f t="shared" si="11"/>
        <v>0</v>
      </c>
      <c r="U73" s="102"/>
      <c r="V73" s="107"/>
      <c r="W73" s="108"/>
      <c r="X73" s="109"/>
      <c r="Y73" s="43"/>
      <c r="Z73" s="26"/>
      <c r="AA73" s="55"/>
      <c r="AB73" s="20"/>
      <c r="AC73" s="17"/>
      <c r="AD73" s="18"/>
      <c r="AE73" s="18"/>
      <c r="AF73" s="18"/>
      <c r="AG73" s="18"/>
      <c r="AH73" s="18"/>
      <c r="AI73" s="19"/>
      <c r="AJ73" s="18" t="e">
        <f t="shared" si="1"/>
        <v>#DIV/0!</v>
      </c>
      <c r="AK73" s="18" t="e">
        <f t="shared" si="2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>
      <c r="A74" s="16"/>
      <c r="B74" s="21"/>
      <c r="C74" s="21">
        <f>C70</f>
        <v>37</v>
      </c>
      <c r="D74" s="22">
        <v>167.4</v>
      </c>
      <c r="E74" s="23">
        <v>30.8792499999999</v>
      </c>
      <c r="F74" s="23">
        <v>38.535276000000003</v>
      </c>
      <c r="G74" s="23">
        <v>36.646713399999904</v>
      </c>
      <c r="H74" s="23">
        <v>3399.047</v>
      </c>
      <c r="I74" s="23">
        <v>27.204999999999998</v>
      </c>
      <c r="J74" s="24">
        <v>4.2023916666666672</v>
      </c>
      <c r="K74" s="27"/>
      <c r="L74" s="22"/>
      <c r="M74" s="23"/>
      <c r="N74" s="23"/>
      <c r="O74" s="23"/>
      <c r="P74" s="23"/>
      <c r="Q74" s="23"/>
      <c r="R74" s="24"/>
      <c r="S74" s="18">
        <f>P74/H74</f>
        <v>0</v>
      </c>
      <c r="T74" s="18">
        <f t="shared" si="11"/>
        <v>0</v>
      </c>
      <c r="U74" s="102"/>
      <c r="V74" s="110"/>
      <c r="W74" s="111"/>
      <c r="X74" s="112"/>
      <c r="Y74" s="44"/>
      <c r="Z74" s="56"/>
      <c r="AA74" s="57"/>
      <c r="AB74" s="20"/>
      <c r="AC74" s="22"/>
      <c r="AD74" s="23"/>
      <c r="AE74" s="23"/>
      <c r="AF74" s="23"/>
      <c r="AG74" s="23"/>
      <c r="AH74" s="23"/>
      <c r="AI74" s="24"/>
      <c r="AJ74" s="18" t="e">
        <f t="shared" si="1"/>
        <v>#DIV/0!</v>
      </c>
      <c r="AK74" s="18" t="e">
        <f t="shared" si="2"/>
        <v>#DIV/0!</v>
      </c>
      <c r="AL74" s="20"/>
      <c r="AM74" s="44"/>
      <c r="AN74" s="56"/>
      <c r="AO74" s="57"/>
      <c r="AP74" s="44"/>
      <c r="AQ74" s="56"/>
      <c r="AR74" s="57"/>
    </row>
    <row r="75" spans="1:44">
      <c r="A75" s="16"/>
      <c r="B75" s="11" t="s">
        <v>62</v>
      </c>
      <c r="C75" s="11">
        <v>22</v>
      </c>
      <c r="D75" s="12">
        <v>1418.3448000000001</v>
      </c>
      <c r="E75" s="13">
        <v>38.500707833333301</v>
      </c>
      <c r="F75" s="13">
        <v>43.925297333333297</v>
      </c>
      <c r="G75" s="13">
        <v>45.318592499999902</v>
      </c>
      <c r="H75" s="13">
        <v>4055.768</v>
      </c>
      <c r="I75" s="13">
        <v>37.655999999999999</v>
      </c>
      <c r="J75" s="14">
        <v>5.5681722222222216</v>
      </c>
      <c r="K75" s="27"/>
      <c r="L75" s="12"/>
      <c r="M75" s="13"/>
      <c r="N75" s="13"/>
      <c r="O75" s="13"/>
      <c r="P75" s="13"/>
      <c r="Q75" s="13"/>
      <c r="R75" s="14"/>
      <c r="S75" s="18">
        <f t="shared" si="11"/>
        <v>0</v>
      </c>
      <c r="T75" s="18">
        <f t="shared" si="11"/>
        <v>0</v>
      </c>
      <c r="U75" s="102"/>
      <c r="V75" s="104" t="e">
        <f ca="1">bdrate($D75:$D78,E75:E78,$L75:$L78,M75:M78)</f>
        <v>#NAME?</v>
      </c>
      <c r="W75" s="105" t="e">
        <f ca="1">bdrate($D75:$D78,F75:F78,$L75:$L78,N75:N78)</f>
        <v>#NAME?</v>
      </c>
      <c r="X75" s="105" t="e">
        <f ca="1">bdrate($D75:$D78,G75:G78,$L75:$L78,O75:O78)</f>
        <v>#NAME?</v>
      </c>
      <c r="Y75" s="45" t="e">
        <f ca="1">bdrateOld($D75:$D78,E75:E78,$L75:$L78,M75:M78)</f>
        <v>#NAME?</v>
      </c>
      <c r="Z75" s="49" t="e">
        <f ca="1">bdrateOld($D75:$D78,F75:F78,$L75:$L78,N75:N78)</f>
        <v>#NAME?</v>
      </c>
      <c r="AA75" s="50" t="e">
        <f ca="1">bdrateOld($D75:$D78,G75:G78,$L75:$L78,O75:O78)</f>
        <v>#NAME?</v>
      </c>
      <c r="AB75" s="20"/>
      <c r="AC75" s="12"/>
      <c r="AD75" s="13"/>
      <c r="AE75" s="13"/>
      <c r="AF75" s="13"/>
      <c r="AG75" s="13"/>
      <c r="AH75" s="13"/>
      <c r="AI75" s="14"/>
      <c r="AJ75" s="18" t="e">
        <f t="shared" si="1"/>
        <v>#DIV/0!</v>
      </c>
      <c r="AK75" s="18" t="e">
        <f t="shared" si="2"/>
        <v>#DIV/0!</v>
      </c>
      <c r="AL75" s="20"/>
      <c r="AM75" s="42" t="e">
        <f ca="1">bdrate($AC75:$AC78,AD75:AD78,$L75:$L78, M75:M78)</f>
        <v>#NAME?</v>
      </c>
      <c r="AN75" s="47" t="e">
        <f ca="1">bdrate($AC75:$AC78,AE75:AE78,$L75:$L78, N75:N78)</f>
        <v>#NAME?</v>
      </c>
      <c r="AO75" s="48" t="e">
        <f ca="1">bdrate($AC75:$AC78,AF75:AF78,$L75:$L78, O75:O78)</f>
        <v>#NAME?</v>
      </c>
      <c r="AP75" s="42" t="e">
        <f ca="1">bdrateOld($AC75:$AC78,AD75:AD78,$L75:$L78, M75:M78)</f>
        <v>#NAME?</v>
      </c>
      <c r="AQ75" s="47" t="e">
        <f ca="1">bdrateOld($AC75:$AC78,AE75:AE78,$L75:$L78, N75:N78)</f>
        <v>#NAME?</v>
      </c>
      <c r="AR75" s="48" t="e">
        <f ca="1">bdrateOld($AC75:$AC78,AF75:AF78,$L75:$L78, O75:O78)</f>
        <v>#NAME?</v>
      </c>
    </row>
    <row r="76" spans="1:44">
      <c r="A76" s="16"/>
      <c r="B76" s="16"/>
      <c r="C76" s="16">
        <v>27</v>
      </c>
      <c r="D76" s="17">
        <v>521.86879999999996</v>
      </c>
      <c r="E76" s="18">
        <v>35.256160999999999</v>
      </c>
      <c r="F76" s="18">
        <v>41.8543788333333</v>
      </c>
      <c r="G76" s="18">
        <v>43.0847208333333</v>
      </c>
      <c r="H76" s="18">
        <v>2728.2040000000002</v>
      </c>
      <c r="I76" s="18">
        <v>33.9359999999999</v>
      </c>
      <c r="J76" s="19">
        <v>3.725027777777778</v>
      </c>
      <c r="K76" s="27"/>
      <c r="L76" s="17"/>
      <c r="M76" s="18"/>
      <c r="N76" s="18"/>
      <c r="O76" s="18"/>
      <c r="P76" s="18"/>
      <c r="Q76" s="18"/>
      <c r="R76" s="19"/>
      <c r="S76" s="18">
        <f t="shared" si="11"/>
        <v>0</v>
      </c>
      <c r="T76" s="18">
        <f t="shared" si="11"/>
        <v>0</v>
      </c>
      <c r="U76" s="102"/>
      <c r="V76" s="107"/>
      <c r="W76" s="108"/>
      <c r="X76" s="108"/>
      <c r="Y76" s="43"/>
      <c r="Z76" s="26"/>
      <c r="AA76" s="55"/>
      <c r="AB76" s="20"/>
      <c r="AC76" s="17"/>
      <c r="AD76" s="18"/>
      <c r="AE76" s="18"/>
      <c r="AF76" s="18"/>
      <c r="AG76" s="18"/>
      <c r="AH76" s="18"/>
      <c r="AI76" s="19"/>
      <c r="AJ76" s="18" t="e">
        <f t="shared" si="1"/>
        <v>#DIV/0!</v>
      </c>
      <c r="AK76" s="18" t="e">
        <f t="shared" si="2"/>
        <v>#DIV/0!</v>
      </c>
      <c r="AL76" s="20"/>
      <c r="AM76" s="43"/>
      <c r="AN76" s="26"/>
      <c r="AO76" s="55"/>
      <c r="AP76" s="43"/>
      <c r="AQ76" s="26"/>
      <c r="AR76" s="55"/>
    </row>
    <row r="77" spans="1:44">
      <c r="A77" s="16"/>
      <c r="B77" s="16"/>
      <c r="C77" s="16">
        <v>32</v>
      </c>
      <c r="D77" s="17">
        <v>238.47279999999901</v>
      </c>
      <c r="E77" s="18">
        <v>32.469244500000002</v>
      </c>
      <c r="F77" s="18">
        <v>40.167480499999897</v>
      </c>
      <c r="G77" s="18">
        <v>41.443168166666602</v>
      </c>
      <c r="H77" s="18">
        <v>2053.893</v>
      </c>
      <c r="I77" s="18">
        <v>31.533000000000001</v>
      </c>
      <c r="J77" s="19">
        <v>2.6125027777777778</v>
      </c>
      <c r="K77" s="27"/>
      <c r="L77" s="17"/>
      <c r="M77" s="18"/>
      <c r="N77" s="18"/>
      <c r="O77" s="18"/>
      <c r="P77" s="18"/>
      <c r="Q77" s="18"/>
      <c r="R77" s="19"/>
      <c r="S77" s="18">
        <f t="shared" si="11"/>
        <v>0</v>
      </c>
      <c r="T77" s="18">
        <f t="shared" si="11"/>
        <v>0</v>
      </c>
      <c r="U77" s="102"/>
      <c r="V77" s="107"/>
      <c r="W77" s="108"/>
      <c r="X77" s="108"/>
      <c r="Y77" s="43"/>
      <c r="Z77" s="26"/>
      <c r="AA77" s="55"/>
      <c r="AB77" s="20"/>
      <c r="AC77" s="17"/>
      <c r="AD77" s="18"/>
      <c r="AE77" s="18"/>
      <c r="AF77" s="18"/>
      <c r="AG77" s="18"/>
      <c r="AH77" s="18"/>
      <c r="AI77" s="19"/>
      <c r="AJ77" s="18" t="e">
        <f t="shared" si="1"/>
        <v>#DIV/0!</v>
      </c>
      <c r="AK77" s="18" t="e">
        <f t="shared" si="2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>
      <c r="A78" s="16"/>
      <c r="B78" s="21"/>
      <c r="C78" s="21">
        <v>37</v>
      </c>
      <c r="D78" s="22">
        <v>124.43680000000001</v>
      </c>
      <c r="E78" s="23">
        <v>29.850735333333301</v>
      </c>
      <c r="F78" s="23">
        <v>38.984499333333297</v>
      </c>
      <c r="G78" s="23">
        <v>40.119483166666598</v>
      </c>
      <c r="H78" s="23">
        <v>1666.59499999999</v>
      </c>
      <c r="I78" s="23">
        <v>32.202999999999903</v>
      </c>
      <c r="J78" s="24">
        <v>2.0081472222222221</v>
      </c>
      <c r="K78" s="27"/>
      <c r="L78" s="22"/>
      <c r="M78" s="23"/>
      <c r="N78" s="23"/>
      <c r="O78" s="23"/>
      <c r="P78" s="23"/>
      <c r="Q78" s="23"/>
      <c r="R78" s="24"/>
      <c r="S78" s="18">
        <f t="shared" si="11"/>
        <v>0</v>
      </c>
      <c r="T78" s="18">
        <f t="shared" si="11"/>
        <v>0</v>
      </c>
      <c r="U78" s="102"/>
      <c r="V78" s="110"/>
      <c r="W78" s="111"/>
      <c r="X78" s="111"/>
      <c r="Y78" s="44"/>
      <c r="Z78" s="56"/>
      <c r="AA78" s="57"/>
      <c r="AB78" s="20"/>
      <c r="AC78" s="22"/>
      <c r="AD78" s="23"/>
      <c r="AE78" s="23"/>
      <c r="AF78" s="23"/>
      <c r="AG78" s="23"/>
      <c r="AH78" s="23"/>
      <c r="AI78" s="24"/>
      <c r="AJ78" s="18" t="e">
        <f t="shared" si="1"/>
        <v>#DIV/0!</v>
      </c>
      <c r="AK78" s="18" t="e">
        <f t="shared" si="2"/>
        <v>#DIV/0!</v>
      </c>
      <c r="AL78" s="20"/>
      <c r="AM78" s="44"/>
      <c r="AN78" s="56"/>
      <c r="AO78" s="57"/>
      <c r="AP78" s="44"/>
      <c r="AQ78" s="56"/>
      <c r="AR78" s="57"/>
    </row>
    <row r="79" spans="1:44">
      <c r="A79" s="16"/>
      <c r="B79" s="11" t="s">
        <v>63</v>
      </c>
      <c r="C79" s="11">
        <v>22</v>
      </c>
      <c r="D79" s="12">
        <v>1433.7888</v>
      </c>
      <c r="E79" s="13">
        <v>38.513967600000001</v>
      </c>
      <c r="F79" s="13">
        <v>41.513978599999902</v>
      </c>
      <c r="G79" s="13">
        <v>42.742754399999903</v>
      </c>
      <c r="H79" s="13">
        <v>3781.846</v>
      </c>
      <c r="I79" s="13">
        <v>30.640999999999998</v>
      </c>
      <c r="J79" s="14">
        <v>5.8009277777777779</v>
      </c>
      <c r="K79" s="27"/>
      <c r="L79" s="12"/>
      <c r="M79" s="13"/>
      <c r="N79" s="13"/>
      <c r="O79" s="13"/>
      <c r="P79" s="13"/>
      <c r="Q79" s="13"/>
      <c r="R79" s="14"/>
      <c r="S79" s="18">
        <f t="shared" ref="S79:T86" si="12">P79/H79</f>
        <v>0</v>
      </c>
      <c r="T79" s="18">
        <f t="shared" si="12"/>
        <v>0</v>
      </c>
      <c r="U79" s="102"/>
      <c r="V79" s="104" t="e">
        <f ca="1">bdrate($D79:$D82,E79:E82,$L79:$L82,M79:M82)</f>
        <v>#NAME?</v>
      </c>
      <c r="W79" s="105" t="e">
        <f ca="1">bdrate($D79:$D82,F79:F82,$L79:$L82,N79:N82)</f>
        <v>#NAME?</v>
      </c>
      <c r="X79" s="105" t="e">
        <f ca="1">bdrate($D79:$D82,G79:G82,$L79:$L82,O79:O82)</f>
        <v>#NAME?</v>
      </c>
      <c r="Y79" s="45" t="e">
        <f ca="1">bdrateOld($D79:$D82,E79:E82,$L79:$L82,M79:M82)</f>
        <v>#NAME?</v>
      </c>
      <c r="Z79" s="49" t="e">
        <f ca="1">bdrateOld($D79:$D82,F79:F82,$L79:$L82,N79:N82)</f>
        <v>#NAME?</v>
      </c>
      <c r="AA79" s="50" t="e">
        <f ca="1">bdrateOld($D79:$D82,G79:G82,$L79:$L82,O79:O82)</f>
        <v>#NAME?</v>
      </c>
      <c r="AB79" s="20"/>
      <c r="AC79" s="12"/>
      <c r="AD79" s="13"/>
      <c r="AE79" s="13"/>
      <c r="AF79" s="13"/>
      <c r="AG79" s="13"/>
      <c r="AH79" s="13"/>
      <c r="AI79" s="14"/>
      <c r="AJ79" s="18" t="e">
        <f t="shared" si="1"/>
        <v>#DIV/0!</v>
      </c>
      <c r="AK79" s="18" t="e">
        <f t="shared" si="2"/>
        <v>#DIV/0!</v>
      </c>
      <c r="AL79" s="20"/>
      <c r="AM79" s="42" t="e">
        <f ca="1">bdrate($AC79:$AC82,AD79:AD82,$L79:$L82, M79:M82)</f>
        <v>#NAME?</v>
      </c>
      <c r="AN79" s="47" t="e">
        <f ca="1">bdrate($AC79:$AC82,AE79:AE82,$L79:$L82, N79:N82)</f>
        <v>#NAME?</v>
      </c>
      <c r="AO79" s="48" t="e">
        <f ca="1">bdrate($AC79:$AC82,AF79:AF82,$L79:$L82, O79:O82)</f>
        <v>#NAME?</v>
      </c>
      <c r="AP79" s="42" t="e">
        <f ca="1">bdrateOld($AC79:$AC82,AD79:AD82,$L79:$L82, M79:M82)</f>
        <v>#NAME?</v>
      </c>
      <c r="AQ79" s="47" t="e">
        <f ca="1">bdrateOld($AC79:$AC82,AE79:AE82,$L79:$L82, N79:N82)</f>
        <v>#NAME?</v>
      </c>
      <c r="AR79" s="48" t="e">
        <f ca="1">bdrateOld($AC79:$AC82,AF79:AF82,$L79:$L82, O79:O82)</f>
        <v>#NAME?</v>
      </c>
    </row>
    <row r="80" spans="1:44">
      <c r="A80" s="16"/>
      <c r="B80" s="16"/>
      <c r="C80" s="16">
        <v>27</v>
      </c>
      <c r="D80" s="17">
        <v>645.09040000000005</v>
      </c>
      <c r="E80" s="18">
        <v>35.141894600000001</v>
      </c>
      <c r="F80" s="18">
        <v>39.274691400000002</v>
      </c>
      <c r="G80" s="18">
        <v>40.289169999999999</v>
      </c>
      <c r="H80" s="18">
        <v>2964.9070000000002</v>
      </c>
      <c r="I80" s="18">
        <v>28.53</v>
      </c>
      <c r="J80" s="19">
        <v>4.5802305555555565</v>
      </c>
      <c r="K80" s="27"/>
      <c r="L80" s="17"/>
      <c r="M80" s="18"/>
      <c r="N80" s="18"/>
      <c r="O80" s="18"/>
      <c r="P80" s="18"/>
      <c r="Q80" s="18"/>
      <c r="R80" s="19"/>
      <c r="S80" s="18">
        <f t="shared" si="12"/>
        <v>0</v>
      </c>
      <c r="T80" s="18">
        <f t="shared" si="12"/>
        <v>0</v>
      </c>
      <c r="U80" s="102"/>
      <c r="V80" s="107"/>
      <c r="W80" s="108"/>
      <c r="X80" s="108"/>
      <c r="Y80" s="43"/>
      <c r="Z80" s="26"/>
      <c r="AA80" s="55"/>
      <c r="AB80" s="20"/>
      <c r="AC80" s="17"/>
      <c r="AD80" s="18"/>
      <c r="AE80" s="18"/>
      <c r="AF80" s="18"/>
      <c r="AG80" s="18"/>
      <c r="AH80" s="18"/>
      <c r="AI80" s="19"/>
      <c r="AJ80" s="18" t="e">
        <f t="shared" si="1"/>
        <v>#DIV/0!</v>
      </c>
      <c r="AK80" s="18" t="e">
        <f t="shared" si="2"/>
        <v>#DIV/0!</v>
      </c>
      <c r="AL80" s="20"/>
      <c r="AM80" s="43"/>
      <c r="AN80" s="26"/>
      <c r="AO80" s="55"/>
      <c r="AP80" s="43"/>
      <c r="AQ80" s="26"/>
      <c r="AR80" s="55"/>
    </row>
    <row r="81" spans="1:44">
      <c r="A81" s="16"/>
      <c r="B81" s="16"/>
      <c r="C81" s="16">
        <v>32</v>
      </c>
      <c r="D81" s="17">
        <v>310.65679999999998</v>
      </c>
      <c r="E81" s="18">
        <v>32.085687399999998</v>
      </c>
      <c r="F81" s="18">
        <v>37.463578399999903</v>
      </c>
      <c r="G81" s="18">
        <v>38.254889200000001</v>
      </c>
      <c r="H81" s="18">
        <v>2357.0149999999999</v>
      </c>
      <c r="I81" s="18">
        <v>26.814</v>
      </c>
      <c r="J81" s="19">
        <v>3.6503333333333337</v>
      </c>
      <c r="K81" s="27"/>
      <c r="L81" s="17"/>
      <c r="M81" s="18"/>
      <c r="N81" s="18"/>
      <c r="O81" s="18"/>
      <c r="P81" s="18"/>
      <c r="Q81" s="18"/>
      <c r="R81" s="19"/>
      <c r="S81" s="18">
        <f t="shared" si="12"/>
        <v>0</v>
      </c>
      <c r="T81" s="18">
        <f t="shared" si="12"/>
        <v>0</v>
      </c>
      <c r="U81" s="102"/>
      <c r="V81" s="107"/>
      <c r="W81" s="108"/>
      <c r="X81" s="108"/>
      <c r="Y81" s="43"/>
      <c r="Z81" s="26"/>
      <c r="AA81" s="55"/>
      <c r="AB81" s="20"/>
      <c r="AC81" s="17"/>
      <c r="AD81" s="18"/>
      <c r="AE81" s="18"/>
      <c r="AF81" s="18"/>
      <c r="AG81" s="18"/>
      <c r="AH81" s="18"/>
      <c r="AI81" s="19"/>
      <c r="AJ81" s="18" t="e">
        <f t="shared" si="1"/>
        <v>#DIV/0!</v>
      </c>
      <c r="AK81" s="18" t="e">
        <f t="shared" si="2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>
      <c r="A82" s="16"/>
      <c r="B82" s="21"/>
      <c r="C82" s="21">
        <v>37</v>
      </c>
      <c r="D82" s="22">
        <v>144.66079999999999</v>
      </c>
      <c r="E82" s="23">
        <v>29.180260999999899</v>
      </c>
      <c r="F82" s="23">
        <v>35.912057999999902</v>
      </c>
      <c r="G82" s="23">
        <v>36.566187999999997</v>
      </c>
      <c r="H82" s="23">
        <v>1859.576</v>
      </c>
      <c r="I82" s="23">
        <v>25.094999999999899</v>
      </c>
      <c r="J82" s="24">
        <v>2.8368111111111114</v>
      </c>
      <c r="K82" s="27"/>
      <c r="L82" s="22"/>
      <c r="M82" s="23"/>
      <c r="N82" s="23"/>
      <c r="O82" s="23"/>
      <c r="P82" s="23"/>
      <c r="Q82" s="23"/>
      <c r="R82" s="24"/>
      <c r="S82" s="18">
        <f t="shared" si="12"/>
        <v>0</v>
      </c>
      <c r="T82" s="18">
        <f t="shared" si="12"/>
        <v>0</v>
      </c>
      <c r="U82" s="102"/>
      <c r="V82" s="110"/>
      <c r="W82" s="111"/>
      <c r="X82" s="111"/>
      <c r="Y82" s="44"/>
      <c r="Z82" s="56"/>
      <c r="AA82" s="57"/>
      <c r="AB82" s="20"/>
      <c r="AC82" s="22"/>
      <c r="AD82" s="23"/>
      <c r="AE82" s="23"/>
      <c r="AF82" s="23"/>
      <c r="AG82" s="23"/>
      <c r="AH82" s="23"/>
      <c r="AI82" s="24"/>
      <c r="AJ82" s="18" t="e">
        <f t="shared" si="1"/>
        <v>#DIV/0!</v>
      </c>
      <c r="AK82" s="18" t="e">
        <f t="shared" si="2"/>
        <v>#DIV/0!</v>
      </c>
      <c r="AL82" s="20"/>
      <c r="AM82" s="44"/>
      <c r="AN82" s="56"/>
      <c r="AO82" s="57"/>
      <c r="AP82" s="44"/>
      <c r="AQ82" s="56"/>
      <c r="AR82" s="57"/>
    </row>
    <row r="83" spans="1:44">
      <c r="A83" s="16"/>
      <c r="B83" s="11" t="s">
        <v>60</v>
      </c>
      <c r="C83" s="11">
        <v>22</v>
      </c>
      <c r="D83" s="12">
        <v>1073.0863999999999</v>
      </c>
      <c r="E83" s="13">
        <v>39.885162000000001</v>
      </c>
      <c r="F83" s="13">
        <v>41.476328666666603</v>
      </c>
      <c r="G83" s="13">
        <v>42.567773666666596</v>
      </c>
      <c r="H83" s="13">
        <v>4417.393</v>
      </c>
      <c r="I83" s="13">
        <v>19.64</v>
      </c>
      <c r="J83" s="14">
        <v>5.7588194444444447</v>
      </c>
      <c r="K83" s="27"/>
      <c r="L83" s="12"/>
      <c r="M83" s="13"/>
      <c r="N83" s="13"/>
      <c r="O83" s="13"/>
      <c r="P83" s="13"/>
      <c r="Q83" s="13"/>
      <c r="R83" s="14"/>
      <c r="S83" s="18">
        <f t="shared" si="12"/>
        <v>0</v>
      </c>
      <c r="T83" s="18">
        <f t="shared" si="12"/>
        <v>0</v>
      </c>
      <c r="U83" s="102"/>
      <c r="V83" s="104" t="e">
        <f ca="1">bdrate($D83:$D86,E83:E86,$L83:$L86,M83:M86)</f>
        <v>#NAME?</v>
      </c>
      <c r="W83" s="105" t="e">
        <f ca="1">bdrate($D83:$D86,F83:F86,$L83:$L86,N83:N86)</f>
        <v>#NAME?</v>
      </c>
      <c r="X83" s="105" t="e">
        <f ca="1">bdrate($D83:$D86,G83:G86,$L83:$L86,O83:O86)</f>
        <v>#NAME?</v>
      </c>
      <c r="Y83" s="45" t="e">
        <f ca="1">bdrateOld($D83:$D86,E83:E86,$L83:$L86,M83:M86)</f>
        <v>#NAME?</v>
      </c>
      <c r="Z83" s="49" t="e">
        <f ca="1">bdrateOld($D83:$D86,F83:F86,$L83:$L86,N83:N86)</f>
        <v>#NAME?</v>
      </c>
      <c r="AA83" s="50" t="e">
        <f ca="1">bdrateOld($D83:$D86,G83:G86,$L83:$L86,O83:O86)</f>
        <v>#NAME?</v>
      </c>
      <c r="AB83" s="20"/>
      <c r="AC83" s="12"/>
      <c r="AD83" s="13"/>
      <c r="AE83" s="13"/>
      <c r="AF83" s="13"/>
      <c r="AG83" s="13"/>
      <c r="AH83" s="13"/>
      <c r="AI83" s="14"/>
      <c r="AJ83" s="18" t="e">
        <f t="shared" si="1"/>
        <v>#DIV/0!</v>
      </c>
      <c r="AK83" s="18" t="e">
        <f t="shared" si="2"/>
        <v>#DIV/0!</v>
      </c>
      <c r="AL83" s="20"/>
      <c r="AM83" s="42" t="e">
        <f ca="1">bdrate($AC83:$AC86,AD83:AD86,$L83:$L86, M83:M86)</f>
        <v>#NAME?</v>
      </c>
      <c r="AN83" s="47" t="e">
        <f ca="1">bdrate($AC83:$AC86,AE83:AE86,$L83:$L86, N83:N86)</f>
        <v>#NAME?</v>
      </c>
      <c r="AO83" s="48" t="e">
        <f ca="1">bdrate($AC83:$AC86,AF83:AF86,$L83:$L86, O83:O86)</f>
        <v>#NAME?</v>
      </c>
      <c r="AP83" s="42" t="e">
        <f ca="1">bdrateOld($AC83:$AC86,AD83:AD86,$L83:$L86, M83:M86)</f>
        <v>#NAME?</v>
      </c>
      <c r="AQ83" s="47" t="e">
        <f ca="1">bdrateOld($AC83:$AC86,AE83:AE86,$L83:$L86, N83:N86)</f>
        <v>#NAME?</v>
      </c>
      <c r="AR83" s="48" t="e">
        <f ca="1">bdrateOld($AC83:$AC86,AF83:AF86,$L83:$L86, O83:O86)</f>
        <v>#NAME?</v>
      </c>
    </row>
    <row r="84" spans="1:44">
      <c r="A84" s="16"/>
      <c r="B84" s="16"/>
      <c r="C84" s="16">
        <v>27</v>
      </c>
      <c r="D84" s="17">
        <v>515.16399999999999</v>
      </c>
      <c r="E84" s="18">
        <v>35.974425666666598</v>
      </c>
      <c r="F84" s="18">
        <v>39.091405333333299</v>
      </c>
      <c r="G84" s="18">
        <v>40.331273666666597</v>
      </c>
      <c r="H84" s="18">
        <v>3515.049</v>
      </c>
      <c r="I84" s="18">
        <v>18.577999999999999</v>
      </c>
      <c r="J84" s="19">
        <v>4.5477944444444445</v>
      </c>
      <c r="K84" s="27"/>
      <c r="L84" s="17"/>
      <c r="M84" s="18"/>
      <c r="N84" s="18"/>
      <c r="O84" s="18"/>
      <c r="P84" s="18"/>
      <c r="Q84" s="18"/>
      <c r="R84" s="19"/>
      <c r="S84" s="18">
        <f t="shared" si="12"/>
        <v>0</v>
      </c>
      <c r="T84" s="18">
        <f t="shared" si="12"/>
        <v>0</v>
      </c>
      <c r="U84" s="102"/>
      <c r="V84" s="43"/>
      <c r="W84" s="26"/>
      <c r="X84" s="26"/>
      <c r="Y84" s="43"/>
      <c r="Z84" s="26"/>
      <c r="AA84" s="55"/>
      <c r="AB84" s="20"/>
      <c r="AC84" s="17"/>
      <c r="AD84" s="18"/>
      <c r="AE84" s="18"/>
      <c r="AF84" s="18"/>
      <c r="AG84" s="18"/>
      <c r="AH84" s="18"/>
      <c r="AI84" s="19"/>
      <c r="AJ84" s="18" t="e">
        <f t="shared" ref="AJ84:AJ114" si="13">R84/AI84</f>
        <v>#DIV/0!</v>
      </c>
      <c r="AK84" s="18" t="e">
        <f t="shared" ref="AK84:AK114" si="14">Q84/AH84</f>
        <v>#DIV/0!</v>
      </c>
      <c r="AL84" s="20"/>
      <c r="AM84" s="43"/>
      <c r="AN84" s="26"/>
      <c r="AO84" s="55"/>
      <c r="AP84" s="43"/>
      <c r="AQ84" s="26"/>
      <c r="AR84" s="55"/>
    </row>
    <row r="85" spans="1:44">
      <c r="A85" s="16"/>
      <c r="B85" s="16"/>
      <c r="C85" s="16">
        <v>32</v>
      </c>
      <c r="D85" s="17">
        <v>258.67919999999998</v>
      </c>
      <c r="E85" s="18">
        <v>32.653124333333302</v>
      </c>
      <c r="F85" s="18">
        <v>37.343175666666603</v>
      </c>
      <c r="G85" s="18">
        <v>38.5825276666666</v>
      </c>
      <c r="H85" s="18">
        <v>2905.1410000000001</v>
      </c>
      <c r="I85" s="18">
        <v>17.7349999999999</v>
      </c>
      <c r="J85" s="19">
        <v>3.7707333333333333</v>
      </c>
      <c r="K85" s="27"/>
      <c r="L85" s="17"/>
      <c r="M85" s="18"/>
      <c r="N85" s="18"/>
      <c r="O85" s="18"/>
      <c r="P85" s="18"/>
      <c r="Q85" s="18"/>
      <c r="R85" s="19"/>
      <c r="S85" s="18">
        <f t="shared" si="12"/>
        <v>0</v>
      </c>
      <c r="T85" s="18">
        <f t="shared" si="12"/>
        <v>0</v>
      </c>
      <c r="U85" s="102"/>
      <c r="V85" s="43"/>
      <c r="W85" s="26"/>
      <c r="X85" s="26"/>
      <c r="Y85" s="43"/>
      <c r="Z85" s="26"/>
      <c r="AA85" s="55"/>
      <c r="AB85" s="20"/>
      <c r="AC85" s="17"/>
      <c r="AD85" s="18"/>
      <c r="AE85" s="18"/>
      <c r="AF85" s="18"/>
      <c r="AG85" s="18"/>
      <c r="AH85" s="18"/>
      <c r="AI85" s="19"/>
      <c r="AJ85" s="18" t="e">
        <f t="shared" si="13"/>
        <v>#DIV/0!</v>
      </c>
      <c r="AK85" s="18" t="e">
        <f t="shared" si="14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>
      <c r="A86" s="21"/>
      <c r="B86" s="21"/>
      <c r="C86" s="21">
        <v>37</v>
      </c>
      <c r="D86" s="22">
        <v>125.97439999999899</v>
      </c>
      <c r="E86" s="23">
        <v>29.7123143333333</v>
      </c>
      <c r="F86" s="23">
        <v>35.819962999999902</v>
      </c>
      <c r="G86" s="23">
        <v>36.916404999999997</v>
      </c>
      <c r="H86" s="23">
        <v>2301.3910000000001</v>
      </c>
      <c r="I86" s="23">
        <v>16.75</v>
      </c>
      <c r="J86" s="24">
        <v>2.9653083333333337</v>
      </c>
      <c r="K86" s="27"/>
      <c r="L86" s="22"/>
      <c r="M86" s="23"/>
      <c r="N86" s="23"/>
      <c r="O86" s="23"/>
      <c r="P86" s="23"/>
      <c r="Q86" s="23"/>
      <c r="R86" s="24"/>
      <c r="S86" s="23">
        <f t="shared" si="12"/>
        <v>0</v>
      </c>
      <c r="T86" s="23">
        <f t="shared" si="12"/>
        <v>0</v>
      </c>
      <c r="U86" s="103"/>
      <c r="V86" s="44"/>
      <c r="W86" s="56"/>
      <c r="X86" s="56"/>
      <c r="Y86" s="44"/>
      <c r="Z86" s="56"/>
      <c r="AA86" s="57"/>
      <c r="AB86" s="25"/>
      <c r="AC86" s="22"/>
      <c r="AD86" s="23"/>
      <c r="AE86" s="23"/>
      <c r="AF86" s="23"/>
      <c r="AG86" s="23"/>
      <c r="AH86" s="23"/>
      <c r="AI86" s="24"/>
      <c r="AJ86" s="23" t="e">
        <f t="shared" si="13"/>
        <v>#DIV/0!</v>
      </c>
      <c r="AK86" s="23" t="e">
        <f t="shared" si="14"/>
        <v>#DIV/0!</v>
      </c>
      <c r="AL86" s="25"/>
      <c r="AM86" s="44"/>
      <c r="AN86" s="56"/>
      <c r="AO86" s="57"/>
      <c r="AP86" s="44"/>
      <c r="AQ86" s="56"/>
      <c r="AR86" s="57"/>
    </row>
    <row r="87" spans="1:44">
      <c r="A87" s="11" t="s">
        <v>55</v>
      </c>
      <c r="B87" s="11" t="s">
        <v>64</v>
      </c>
      <c r="C87" s="11">
        <v>22</v>
      </c>
      <c r="D87" s="12" t="s">
        <v>1438</v>
      </c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3"/>
      <c r="T87" s="13"/>
      <c r="U87" s="59"/>
      <c r="V87" s="92"/>
      <c r="W87" s="93"/>
      <c r="X87" s="94"/>
      <c r="Y87" s="42"/>
      <c r="Z87" s="47"/>
      <c r="AA87" s="48"/>
      <c r="AB87" s="54"/>
      <c r="AC87" s="12"/>
      <c r="AD87" s="13"/>
      <c r="AE87" s="13"/>
      <c r="AF87" s="13"/>
      <c r="AG87" s="13"/>
      <c r="AH87" s="13"/>
      <c r="AI87" s="14"/>
      <c r="AJ87" s="13"/>
      <c r="AK87" s="13"/>
      <c r="AL87" s="54"/>
      <c r="AM87" s="42"/>
      <c r="AN87" s="47"/>
      <c r="AO87" s="48"/>
      <c r="AP87" s="42"/>
      <c r="AQ87" s="47"/>
      <c r="AR87" s="48"/>
    </row>
    <row r="88" spans="1:44">
      <c r="A88" s="16" t="s">
        <v>56</v>
      </c>
      <c r="B88" s="16"/>
      <c r="C88" s="16">
        <v>27</v>
      </c>
      <c r="D88" s="17" t="s">
        <v>1438</v>
      </c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60"/>
      <c r="V88" s="95"/>
      <c r="W88" s="96"/>
      <c r="X88" s="97"/>
      <c r="Y88" s="43"/>
      <c r="Z88" s="26"/>
      <c r="AA88" s="55"/>
      <c r="AB88" s="20"/>
      <c r="AC88" s="17"/>
      <c r="AD88" s="18"/>
      <c r="AE88" s="18"/>
      <c r="AF88" s="18"/>
      <c r="AG88" s="18"/>
      <c r="AH88" s="18"/>
      <c r="AI88" s="19"/>
      <c r="AJ88" s="18"/>
      <c r="AK88" s="18"/>
      <c r="AL88" s="20"/>
      <c r="AM88" s="43"/>
      <c r="AN88" s="26"/>
      <c r="AO88" s="55"/>
      <c r="AP88" s="43"/>
      <c r="AQ88" s="26"/>
      <c r="AR88" s="55"/>
    </row>
    <row r="89" spans="1:44">
      <c r="A89" s="16"/>
      <c r="B89" s="16"/>
      <c r="C89" s="16">
        <v>32</v>
      </c>
      <c r="D89" s="17" t="s">
        <v>1438</v>
      </c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60"/>
      <c r="V89" s="95"/>
      <c r="W89" s="96"/>
      <c r="X89" s="97"/>
      <c r="Y89" s="43"/>
      <c r="Z89" s="26"/>
      <c r="AA89" s="55"/>
      <c r="AB89" s="20"/>
      <c r="AC89" s="17"/>
      <c r="AD89" s="18"/>
      <c r="AE89" s="18"/>
      <c r="AF89" s="18"/>
      <c r="AG89" s="18"/>
      <c r="AH89" s="18"/>
      <c r="AI89" s="19"/>
      <c r="AJ89" s="18"/>
      <c r="AK89" s="18"/>
      <c r="AL89" s="20"/>
      <c r="AM89" s="43"/>
      <c r="AN89" s="26"/>
      <c r="AO89" s="55"/>
      <c r="AP89" s="43"/>
      <c r="AQ89" s="26"/>
      <c r="AR89" s="55"/>
    </row>
    <row r="90" spans="1:44" ht="12.75" thickBot="1">
      <c r="A90" s="16"/>
      <c r="B90" s="21"/>
      <c r="C90" s="21">
        <v>37</v>
      </c>
      <c r="D90" s="22" t="s">
        <v>1438</v>
      </c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60"/>
      <c r="V90" s="98"/>
      <c r="W90" s="99"/>
      <c r="X90" s="100"/>
      <c r="Y90" s="44"/>
      <c r="Z90" s="56"/>
      <c r="AA90" s="57"/>
      <c r="AB90" s="20"/>
      <c r="AC90" s="22"/>
      <c r="AD90" s="23"/>
      <c r="AE90" s="23"/>
      <c r="AF90" s="23"/>
      <c r="AG90" s="23"/>
      <c r="AH90" s="23"/>
      <c r="AI90" s="24"/>
      <c r="AJ90" s="18"/>
      <c r="AK90" s="18"/>
      <c r="AL90" s="20"/>
      <c r="AM90" s="44"/>
      <c r="AN90" s="56"/>
      <c r="AO90" s="57"/>
      <c r="AP90" s="44"/>
      <c r="AQ90" s="56"/>
      <c r="AR90" s="57"/>
    </row>
    <row r="91" spans="1:44">
      <c r="A91" s="16"/>
      <c r="B91" s="11" t="s">
        <v>65</v>
      </c>
      <c r="C91" s="11">
        <v>22</v>
      </c>
      <c r="D91" s="12" t="s">
        <v>1438</v>
      </c>
      <c r="E91" s="13"/>
      <c r="F91" s="13"/>
      <c r="G91" s="13"/>
      <c r="H91" s="13"/>
      <c r="I91" s="13"/>
      <c r="J91" s="14"/>
      <c r="L91" s="12"/>
      <c r="M91" s="13"/>
      <c r="N91" s="13"/>
      <c r="O91" s="13"/>
      <c r="P91" s="13"/>
      <c r="Q91" s="13"/>
      <c r="R91" s="14"/>
      <c r="S91" s="18"/>
      <c r="T91" s="18"/>
      <c r="U91" s="60"/>
      <c r="V91" s="92"/>
      <c r="W91" s="93"/>
      <c r="X91" s="93"/>
      <c r="Y91" s="45"/>
      <c r="Z91" s="49"/>
      <c r="AA91" s="50"/>
      <c r="AB91" s="20"/>
      <c r="AC91" s="12"/>
      <c r="AD91" s="13"/>
      <c r="AE91" s="13"/>
      <c r="AF91" s="13"/>
      <c r="AG91" s="13"/>
      <c r="AH91" s="13"/>
      <c r="AI91" s="14"/>
      <c r="AJ91" s="18"/>
      <c r="AK91" s="18"/>
      <c r="AL91" s="20"/>
      <c r="AM91" s="42"/>
      <c r="AN91" s="47"/>
      <c r="AO91" s="48"/>
      <c r="AP91" s="42"/>
      <c r="AQ91" s="47"/>
      <c r="AR91" s="48"/>
    </row>
    <row r="92" spans="1:44">
      <c r="A92" s="16"/>
      <c r="B92" s="16"/>
      <c r="C92" s="16">
        <v>27</v>
      </c>
      <c r="D92" s="17" t="s">
        <v>1438</v>
      </c>
      <c r="E92" s="18"/>
      <c r="F92" s="18"/>
      <c r="G92" s="18"/>
      <c r="H92" s="18"/>
      <c r="I92" s="18"/>
      <c r="J92" s="19"/>
      <c r="L92" s="17"/>
      <c r="M92" s="18"/>
      <c r="N92" s="18"/>
      <c r="O92" s="18"/>
      <c r="P92" s="18"/>
      <c r="Q92" s="18"/>
      <c r="R92" s="19"/>
      <c r="S92" s="18"/>
      <c r="T92" s="18"/>
      <c r="U92" s="60"/>
      <c r="V92" s="95"/>
      <c r="W92" s="96"/>
      <c r="X92" s="96"/>
      <c r="Y92" s="43"/>
      <c r="Z92" s="26"/>
      <c r="AA92" s="55"/>
      <c r="AB92" s="20"/>
      <c r="AC92" s="17"/>
      <c r="AD92" s="18"/>
      <c r="AE92" s="18"/>
      <c r="AF92" s="18"/>
      <c r="AG92" s="18"/>
      <c r="AH92" s="18"/>
      <c r="AI92" s="19"/>
      <c r="AJ92" s="18"/>
      <c r="AK92" s="18"/>
      <c r="AL92" s="20"/>
      <c r="AM92" s="43"/>
      <c r="AN92" s="26"/>
      <c r="AO92" s="55"/>
      <c r="AP92" s="43"/>
      <c r="AQ92" s="26"/>
      <c r="AR92" s="55"/>
    </row>
    <row r="93" spans="1:44">
      <c r="A93" s="16"/>
      <c r="B93" s="16"/>
      <c r="C93" s="16">
        <v>32</v>
      </c>
      <c r="D93" s="17" t="s">
        <v>1438</v>
      </c>
      <c r="E93" s="18"/>
      <c r="F93" s="18"/>
      <c r="G93" s="18"/>
      <c r="H93" s="18"/>
      <c r="I93" s="18"/>
      <c r="J93" s="19"/>
      <c r="L93" s="17"/>
      <c r="M93" s="18"/>
      <c r="N93" s="18"/>
      <c r="O93" s="18"/>
      <c r="P93" s="18"/>
      <c r="Q93" s="18"/>
      <c r="R93" s="19"/>
      <c r="S93" s="18"/>
      <c r="T93" s="18"/>
      <c r="U93" s="60"/>
      <c r="V93" s="95"/>
      <c r="W93" s="96"/>
      <c r="X93" s="96"/>
      <c r="Y93" s="43"/>
      <c r="Z93" s="26"/>
      <c r="AA93" s="55"/>
      <c r="AB93" s="20"/>
      <c r="AC93" s="17"/>
      <c r="AD93" s="18"/>
      <c r="AE93" s="18"/>
      <c r="AF93" s="18"/>
      <c r="AG93" s="18"/>
      <c r="AH93" s="18"/>
      <c r="AI93" s="19"/>
      <c r="AJ93" s="18"/>
      <c r="AK93" s="18"/>
      <c r="AL93" s="20"/>
      <c r="AM93" s="43"/>
      <c r="AN93" s="26"/>
      <c r="AO93" s="55"/>
      <c r="AP93" s="43"/>
      <c r="AQ93" s="26"/>
      <c r="AR93" s="55"/>
    </row>
    <row r="94" spans="1:44" ht="12.75" thickBot="1">
      <c r="A94" s="16"/>
      <c r="B94" s="21"/>
      <c r="C94" s="21">
        <v>37</v>
      </c>
      <c r="D94" s="22" t="s">
        <v>1438</v>
      </c>
      <c r="E94" s="23"/>
      <c r="F94" s="23"/>
      <c r="G94" s="23"/>
      <c r="H94" s="23"/>
      <c r="I94" s="23"/>
      <c r="J94" s="24"/>
      <c r="L94" s="22"/>
      <c r="M94" s="23"/>
      <c r="N94" s="23"/>
      <c r="O94" s="23"/>
      <c r="P94" s="23"/>
      <c r="Q94" s="23"/>
      <c r="R94" s="24"/>
      <c r="S94" s="18"/>
      <c r="T94" s="18"/>
      <c r="U94" s="60"/>
      <c r="V94" s="98"/>
      <c r="W94" s="99"/>
      <c r="X94" s="99"/>
      <c r="Y94" s="44"/>
      <c r="Z94" s="56"/>
      <c r="AA94" s="57"/>
      <c r="AB94" s="20"/>
      <c r="AC94" s="22"/>
      <c r="AD94" s="23"/>
      <c r="AE94" s="23"/>
      <c r="AF94" s="23"/>
      <c r="AG94" s="23"/>
      <c r="AH94" s="23"/>
      <c r="AI94" s="24"/>
      <c r="AJ94" s="18"/>
      <c r="AK94" s="18"/>
      <c r="AL94" s="20"/>
      <c r="AM94" s="44"/>
      <c r="AN94" s="56"/>
      <c r="AO94" s="57"/>
      <c r="AP94" s="44"/>
      <c r="AQ94" s="56"/>
      <c r="AR94" s="57"/>
    </row>
    <row r="95" spans="1:44">
      <c r="A95" s="16"/>
      <c r="B95" s="11" t="s">
        <v>66</v>
      </c>
      <c r="C95" s="11">
        <v>22</v>
      </c>
      <c r="D95" s="12" t="s">
        <v>1438</v>
      </c>
      <c r="E95" s="13"/>
      <c r="F95" s="13"/>
      <c r="G95" s="13"/>
      <c r="H95" s="13"/>
      <c r="I95" s="13"/>
      <c r="J95" s="14"/>
      <c r="L95" s="12"/>
      <c r="M95" s="13"/>
      <c r="N95" s="13"/>
      <c r="O95" s="13"/>
      <c r="P95" s="13"/>
      <c r="Q95" s="13"/>
      <c r="R95" s="14"/>
      <c r="S95" s="18"/>
      <c r="T95" s="18"/>
      <c r="U95" s="60"/>
      <c r="V95" s="92"/>
      <c r="W95" s="93"/>
      <c r="X95" s="93"/>
      <c r="Y95" s="45"/>
      <c r="Z95" s="49"/>
      <c r="AA95" s="50"/>
      <c r="AB95" s="20"/>
      <c r="AC95" s="12"/>
      <c r="AD95" s="13"/>
      <c r="AE95" s="13"/>
      <c r="AF95" s="13"/>
      <c r="AG95" s="13"/>
      <c r="AH95" s="13"/>
      <c r="AI95" s="14"/>
      <c r="AJ95" s="18"/>
      <c r="AK95" s="18"/>
      <c r="AL95" s="20"/>
      <c r="AM95" s="42"/>
      <c r="AN95" s="47"/>
      <c r="AO95" s="48"/>
      <c r="AP95" s="42"/>
      <c r="AQ95" s="47"/>
      <c r="AR95" s="48"/>
    </row>
    <row r="96" spans="1:44">
      <c r="A96" s="16"/>
      <c r="B96" s="16"/>
      <c r="C96" s="16">
        <v>27</v>
      </c>
      <c r="D96" s="17" t="s">
        <v>1438</v>
      </c>
      <c r="E96" s="18"/>
      <c r="F96" s="18"/>
      <c r="G96" s="18"/>
      <c r="H96" s="18"/>
      <c r="I96" s="18"/>
      <c r="J96" s="19"/>
      <c r="L96" s="17"/>
      <c r="M96" s="18"/>
      <c r="N96" s="18"/>
      <c r="O96" s="18"/>
      <c r="P96" s="18"/>
      <c r="Q96" s="18"/>
      <c r="R96" s="19"/>
      <c r="S96" s="18"/>
      <c r="T96" s="18"/>
      <c r="U96" s="60"/>
      <c r="V96" s="95"/>
      <c r="W96" s="96"/>
      <c r="X96" s="96"/>
      <c r="Y96" s="43"/>
      <c r="Z96" s="26"/>
      <c r="AA96" s="55"/>
      <c r="AB96" s="20"/>
      <c r="AC96" s="17"/>
      <c r="AD96" s="18"/>
      <c r="AE96" s="18"/>
      <c r="AF96" s="18"/>
      <c r="AG96" s="18"/>
      <c r="AH96" s="18"/>
      <c r="AI96" s="19"/>
      <c r="AJ96" s="18"/>
      <c r="AK96" s="18"/>
      <c r="AL96" s="20"/>
      <c r="AM96" s="43"/>
      <c r="AN96" s="26"/>
      <c r="AO96" s="55"/>
      <c r="AP96" s="43"/>
      <c r="AQ96" s="26"/>
      <c r="AR96" s="55"/>
    </row>
    <row r="97" spans="1:44">
      <c r="A97" s="16"/>
      <c r="B97" s="16"/>
      <c r="C97" s="16">
        <v>32</v>
      </c>
      <c r="D97" s="17" t="s">
        <v>1438</v>
      </c>
      <c r="E97" s="18"/>
      <c r="F97" s="18"/>
      <c r="G97" s="18"/>
      <c r="H97" s="18"/>
      <c r="I97" s="18"/>
      <c r="J97" s="19"/>
      <c r="L97" s="17"/>
      <c r="M97" s="18"/>
      <c r="N97" s="18"/>
      <c r="O97" s="18"/>
      <c r="P97" s="18"/>
      <c r="Q97" s="18"/>
      <c r="R97" s="19"/>
      <c r="S97" s="18"/>
      <c r="T97" s="18"/>
      <c r="U97" s="60"/>
      <c r="V97" s="95"/>
      <c r="W97" s="96"/>
      <c r="X97" s="96"/>
      <c r="Y97" s="43"/>
      <c r="Z97" s="26"/>
      <c r="AA97" s="55"/>
      <c r="AB97" s="20"/>
      <c r="AC97" s="17"/>
      <c r="AD97" s="18"/>
      <c r="AE97" s="18"/>
      <c r="AF97" s="18"/>
      <c r="AG97" s="18"/>
      <c r="AH97" s="18"/>
      <c r="AI97" s="19"/>
      <c r="AJ97" s="18"/>
      <c r="AK97" s="18"/>
      <c r="AL97" s="20"/>
      <c r="AM97" s="43"/>
      <c r="AN97" s="26"/>
      <c r="AO97" s="55"/>
      <c r="AP97" s="43"/>
      <c r="AQ97" s="26"/>
      <c r="AR97" s="55"/>
    </row>
    <row r="98" spans="1:44" ht="12.75" thickBot="1">
      <c r="A98" s="21"/>
      <c r="B98" s="21"/>
      <c r="C98" s="21">
        <v>37</v>
      </c>
      <c r="D98" s="22" t="s">
        <v>1438</v>
      </c>
      <c r="E98" s="23"/>
      <c r="F98" s="23"/>
      <c r="G98" s="23"/>
      <c r="H98" s="23"/>
      <c r="I98" s="23"/>
      <c r="J98" s="24"/>
      <c r="L98" s="22"/>
      <c r="M98" s="23"/>
      <c r="N98" s="23"/>
      <c r="O98" s="23"/>
      <c r="P98" s="23"/>
      <c r="Q98" s="23"/>
      <c r="R98" s="24"/>
      <c r="S98" s="18"/>
      <c r="T98" s="18"/>
      <c r="U98" s="60"/>
      <c r="V98" s="98"/>
      <c r="W98" s="99"/>
      <c r="X98" s="99"/>
      <c r="Y98" s="44"/>
      <c r="Z98" s="56"/>
      <c r="AA98" s="57"/>
      <c r="AB98" s="20"/>
      <c r="AC98" s="22"/>
      <c r="AD98" s="23"/>
      <c r="AE98" s="23"/>
      <c r="AF98" s="23"/>
      <c r="AG98" s="23"/>
      <c r="AH98" s="23"/>
      <c r="AI98" s="24"/>
      <c r="AJ98" s="18"/>
      <c r="AK98" s="18"/>
      <c r="AL98" s="20"/>
      <c r="AM98" s="44"/>
      <c r="AN98" s="56"/>
      <c r="AO98" s="57"/>
      <c r="AP98" s="44"/>
      <c r="AQ98" s="56"/>
      <c r="AR98" s="57"/>
    </row>
    <row r="99" spans="1:44">
      <c r="A99" s="35" t="s">
        <v>57</v>
      </c>
      <c r="B99" s="35" t="s">
        <v>67</v>
      </c>
      <c r="C99" s="35">
        <v>22</v>
      </c>
      <c r="D99" s="12">
        <v>3137.3191999999999</v>
      </c>
      <c r="E99" s="13">
        <v>41.376644599999999</v>
      </c>
      <c r="F99" s="13">
        <v>43.401949600000002</v>
      </c>
      <c r="G99" s="13">
        <v>44.083991599999997</v>
      </c>
      <c r="H99" s="13">
        <v>20925.406999999999</v>
      </c>
      <c r="I99" s="13">
        <v>47.156999999999996</v>
      </c>
      <c r="J99" s="14">
        <v>23.42508611111111</v>
      </c>
      <c r="L99" s="12"/>
      <c r="M99" s="13"/>
      <c r="N99" s="13"/>
      <c r="O99" s="13"/>
      <c r="P99" s="13"/>
      <c r="Q99" s="13"/>
      <c r="R99" s="14"/>
      <c r="S99" s="13">
        <f t="shared" ref="S99:T114" si="15">P99/H99</f>
        <v>0</v>
      </c>
      <c r="T99" s="13">
        <f t="shared" si="15"/>
        <v>0</v>
      </c>
      <c r="U99" s="59"/>
      <c r="V99" s="42" t="e">
        <f ca="1">bdrate($D99:$D102,E99:E102,$L99:$L102,M99:M102)</f>
        <v>#NAME?</v>
      </c>
      <c r="W99" s="47" t="e">
        <f ca="1">bdrate($D99:$D102,F99:F102,$L99:$L102,N99:N102)</f>
        <v>#NAME?</v>
      </c>
      <c r="X99" s="48" t="e">
        <f ca="1">bdrate($D99:$D102,G99:G102,$L99:$L102,O99:O102)</f>
        <v>#NAME?</v>
      </c>
      <c r="Y99" s="42" t="e">
        <f ca="1">bdrateOld($D99:$D102,E99:E102,$L99:$L102,M99:M102)</f>
        <v>#NAME?</v>
      </c>
      <c r="Z99" s="47" t="e">
        <f ca="1">bdrateOld($D99:$D102,F99:F102,$L99:$L102,N99:N102)</f>
        <v>#NAME?</v>
      </c>
      <c r="AA99" s="48" t="e">
        <f ca="1">bdrateOld($D99:$D102,G99:G102,$L99:$L102,O99:O102)</f>
        <v>#NAME?</v>
      </c>
      <c r="AB99" s="54"/>
      <c r="AC99" s="12"/>
      <c r="AD99" s="13"/>
      <c r="AE99" s="13"/>
      <c r="AF99" s="13"/>
      <c r="AG99" s="13"/>
      <c r="AH99" s="13"/>
      <c r="AI99" s="14"/>
      <c r="AJ99" s="13" t="e">
        <f t="shared" si="13"/>
        <v>#DIV/0!</v>
      </c>
      <c r="AK99" s="13" t="e">
        <f t="shared" si="14"/>
        <v>#DIV/0!</v>
      </c>
      <c r="AL99" s="54"/>
      <c r="AM99" s="42" t="e">
        <f ca="1">bdrate($AC99:$AC102,AD99:AD102,$L99:$L102, M99:M102)</f>
        <v>#NAME?</v>
      </c>
      <c r="AN99" s="47" t="e">
        <f ca="1">bdrate($AC99:$AC102,AE99:AE102,$L99:$L102, N99:N102)</f>
        <v>#NAME?</v>
      </c>
      <c r="AO99" s="48" t="e">
        <f ca="1">bdrate($AC99:$AC102,AF99:AF102,$L99:$L102, O99:O102)</f>
        <v>#NAME?</v>
      </c>
      <c r="AP99" s="42" t="e">
        <f ca="1">bdrateOld($AC99:$AC102,AD99:AD102,$L99:$L102, M99:M102)</f>
        <v>#NAME?</v>
      </c>
      <c r="AQ99" s="47" t="e">
        <f ca="1">bdrateOld($AC99:$AC102,AE99:AE102,$L99:$L102, N99:N102)</f>
        <v>#NAME?</v>
      </c>
      <c r="AR99" s="48" t="e">
        <f ca="1">bdrateOld($AC99:$AC102,AF99:AF102,$L99:$L102, O99:O102)</f>
        <v>#NAME?</v>
      </c>
    </row>
    <row r="100" spans="1:44">
      <c r="A100" s="36"/>
      <c r="B100" s="36"/>
      <c r="C100" s="36">
        <v>27</v>
      </c>
      <c r="D100" s="17">
        <v>1508.2936</v>
      </c>
      <c r="E100" s="18">
        <v>38.077182999999998</v>
      </c>
      <c r="F100" s="18">
        <v>41.118250000000003</v>
      </c>
      <c r="G100" s="18">
        <v>41.470726800000001</v>
      </c>
      <c r="H100" s="18">
        <v>17498.296999999999</v>
      </c>
      <c r="I100" s="18">
        <v>42.561999999999998</v>
      </c>
      <c r="J100" s="19">
        <v>19.854305555555555</v>
      </c>
      <c r="L100" s="17"/>
      <c r="M100" s="18"/>
      <c r="N100" s="18"/>
      <c r="O100" s="18"/>
      <c r="P100" s="18"/>
      <c r="Q100" s="18"/>
      <c r="R100" s="19"/>
      <c r="S100" s="18">
        <f t="shared" si="15"/>
        <v>0</v>
      </c>
      <c r="T100" s="18">
        <f t="shared" si="15"/>
        <v>0</v>
      </c>
      <c r="U100" s="60"/>
      <c r="V100" s="43"/>
      <c r="W100" s="26"/>
      <c r="X100" s="55"/>
      <c r="Y100" s="43"/>
      <c r="Z100" s="26"/>
      <c r="AA100" s="55"/>
      <c r="AB100" s="20"/>
      <c r="AC100" s="17"/>
      <c r="AD100" s="18"/>
      <c r="AE100" s="18"/>
      <c r="AF100" s="18"/>
      <c r="AG100" s="18"/>
      <c r="AH100" s="18"/>
      <c r="AI100" s="19"/>
      <c r="AJ100" s="18" t="e">
        <f t="shared" si="13"/>
        <v>#DIV/0!</v>
      </c>
      <c r="AK100" s="18" t="e">
        <f t="shared" si="14"/>
        <v>#DIV/0!</v>
      </c>
      <c r="AL100" s="20"/>
      <c r="AM100" s="43"/>
      <c r="AN100" s="26"/>
      <c r="AO100" s="55"/>
      <c r="AP100" s="43"/>
      <c r="AQ100" s="26"/>
      <c r="AR100" s="55"/>
    </row>
    <row r="101" spans="1:44">
      <c r="A101" s="36"/>
      <c r="B101" s="36"/>
      <c r="C101" s="36">
        <v>32</v>
      </c>
      <c r="D101" s="17">
        <v>784.00480000000005</v>
      </c>
      <c r="E101" s="18">
        <v>35.0917618</v>
      </c>
      <c r="F101" s="18">
        <v>39.186506399999999</v>
      </c>
      <c r="G101" s="18">
        <v>39.388196000000001</v>
      </c>
      <c r="H101" s="18">
        <v>14163.656999999899</v>
      </c>
      <c r="I101" s="18">
        <v>40.829000000000001</v>
      </c>
      <c r="J101" s="19">
        <v>16.182702777777777</v>
      </c>
      <c r="L101" s="17"/>
      <c r="M101" s="18"/>
      <c r="N101" s="18"/>
      <c r="O101" s="18"/>
      <c r="P101" s="18"/>
      <c r="Q101" s="18"/>
      <c r="R101" s="19"/>
      <c r="S101" s="18">
        <f t="shared" si="15"/>
        <v>0</v>
      </c>
      <c r="T101" s="18">
        <f t="shared" si="15"/>
        <v>0</v>
      </c>
      <c r="U101" s="60"/>
      <c r="V101" s="43"/>
      <c r="W101" s="26"/>
      <c r="X101" s="55"/>
      <c r="Y101" s="43"/>
      <c r="Z101" s="26"/>
      <c r="AA101" s="55"/>
      <c r="AB101" s="20"/>
      <c r="AC101" s="17"/>
      <c r="AD101" s="18"/>
      <c r="AE101" s="18"/>
      <c r="AF101" s="18"/>
      <c r="AG101" s="18"/>
      <c r="AH101" s="18"/>
      <c r="AI101" s="19"/>
      <c r="AJ101" s="18" t="e">
        <f t="shared" si="13"/>
        <v>#DIV/0!</v>
      </c>
      <c r="AK101" s="18" t="e">
        <f t="shared" si="14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>
      <c r="A102" s="36"/>
      <c r="B102" s="37"/>
      <c r="C102" s="37">
        <v>37</v>
      </c>
      <c r="D102" s="22">
        <v>413.24079999999998</v>
      </c>
      <c r="E102" s="23">
        <v>32.355195199999997</v>
      </c>
      <c r="F102" s="23">
        <v>37.4462592</v>
      </c>
      <c r="G102" s="23">
        <v>37.490217799999897</v>
      </c>
      <c r="H102" s="23">
        <v>11927.172</v>
      </c>
      <c r="I102" s="23">
        <v>37.968999999999902</v>
      </c>
      <c r="J102" s="24">
        <v>13.413030555555556</v>
      </c>
      <c r="L102" s="22"/>
      <c r="M102" s="23"/>
      <c r="N102" s="23"/>
      <c r="O102" s="23"/>
      <c r="P102" s="23"/>
      <c r="Q102" s="23"/>
      <c r="R102" s="24"/>
      <c r="S102" s="18">
        <f t="shared" si="15"/>
        <v>0</v>
      </c>
      <c r="T102" s="18">
        <f t="shared" si="15"/>
        <v>0</v>
      </c>
      <c r="U102" s="60"/>
      <c r="V102" s="44"/>
      <c r="W102" s="56"/>
      <c r="X102" s="57"/>
      <c r="Y102" s="44"/>
      <c r="Z102" s="56"/>
      <c r="AA102" s="57"/>
      <c r="AB102" s="20"/>
      <c r="AC102" s="22"/>
      <c r="AD102" s="23"/>
      <c r="AE102" s="23"/>
      <c r="AF102" s="23"/>
      <c r="AG102" s="23"/>
      <c r="AH102" s="23"/>
      <c r="AI102" s="24"/>
      <c r="AJ102" s="18" t="e">
        <f t="shared" si="13"/>
        <v>#DIV/0!</v>
      </c>
      <c r="AK102" s="18" t="e">
        <f t="shared" si="14"/>
        <v>#DIV/0!</v>
      </c>
      <c r="AL102" s="20"/>
      <c r="AM102" s="44"/>
      <c r="AN102" s="56"/>
      <c r="AO102" s="57"/>
      <c r="AP102" s="44"/>
      <c r="AQ102" s="56"/>
      <c r="AR102" s="57"/>
    </row>
    <row r="103" spans="1:44">
      <c r="A103" s="36"/>
      <c r="B103" s="35" t="s">
        <v>68</v>
      </c>
      <c r="C103" s="35">
        <v>22</v>
      </c>
      <c r="D103" s="12">
        <v>4728.21216</v>
      </c>
      <c r="E103" s="13">
        <v>43.035142</v>
      </c>
      <c r="F103" s="13">
        <v>46.502499999999998</v>
      </c>
      <c r="G103" s="13">
        <v>46.475478799999998</v>
      </c>
      <c r="H103" s="13">
        <v>55152.156999999999</v>
      </c>
      <c r="I103" s="13">
        <v>77.453999999999994</v>
      </c>
      <c r="J103" s="14">
        <v>57.013355555555549</v>
      </c>
      <c r="L103" s="12"/>
      <c r="M103" s="13"/>
      <c r="N103" s="13"/>
      <c r="O103" s="13"/>
      <c r="P103" s="13"/>
      <c r="Q103" s="13"/>
      <c r="R103" s="14"/>
      <c r="S103" s="18">
        <f t="shared" si="15"/>
        <v>0</v>
      </c>
      <c r="T103" s="18">
        <f t="shared" si="15"/>
        <v>0</v>
      </c>
      <c r="U103" s="60"/>
      <c r="V103" s="42" t="e">
        <f ca="1">bdrate($D103:$D106,E103:E106,$L103:$L106,M103:M106)</f>
        <v>#NAME?</v>
      </c>
      <c r="W103" s="47" t="e">
        <f ca="1">bdrate($D103:$D106,F103:F106,$L103:$L106,N103:N106)</f>
        <v>#NAME?</v>
      </c>
      <c r="X103" s="47" t="e">
        <f ca="1">bdrate($D103:$D106,G103:G106,$L103:$L106,O103:O106)</f>
        <v>#NAME?</v>
      </c>
      <c r="Y103" s="45" t="e">
        <f ca="1">bdrateOld($D103:$D106,E103:E106,$L103:$L106,M103:M106)</f>
        <v>#NAME?</v>
      </c>
      <c r="Z103" s="49" t="e">
        <f ca="1">bdrateOld($D103:$D106,F103:F106,$L103:$L106,N103:N106)</f>
        <v>#NAME?</v>
      </c>
      <c r="AA103" s="50" t="e">
        <f ca="1">bdrateOld($D103:$D106,G103:G106,$L103:$L106,O103:O106)</f>
        <v>#NAME?</v>
      </c>
      <c r="AB103" s="20"/>
      <c r="AC103" s="12"/>
      <c r="AD103" s="13"/>
      <c r="AE103" s="13"/>
      <c r="AF103" s="13"/>
      <c r="AG103" s="13"/>
      <c r="AH103" s="13"/>
      <c r="AI103" s="14"/>
      <c r="AJ103" s="18" t="e">
        <f t="shared" si="13"/>
        <v>#DIV/0!</v>
      </c>
      <c r="AK103" s="18" t="e">
        <f t="shared" si="14"/>
        <v>#DIV/0!</v>
      </c>
      <c r="AL103" s="20"/>
      <c r="AM103" s="42" t="e">
        <f ca="1">bdrate($AC103:$AC106,AD103:AD106,$L103:$L106, M103:M106)</f>
        <v>#NAME?</v>
      </c>
      <c r="AN103" s="47" t="e">
        <f ca="1">bdrate($AC103:$AC106,AE103:AE106,$L103:$L106, N103:N106)</f>
        <v>#NAME?</v>
      </c>
      <c r="AO103" s="48" t="e">
        <f ca="1">bdrate($AC103:$AC106,AF103:AF106,$L103:$L106, O103:O106)</f>
        <v>#NAME?</v>
      </c>
      <c r="AP103" s="42" t="e">
        <f ca="1">bdrateOld($AC103:$AC106,AD103:AD106,$L103:$L106, M103:M106)</f>
        <v>#NAME?</v>
      </c>
      <c r="AQ103" s="47" t="e">
        <f ca="1">bdrateOld($AC103:$AC106,AE103:AE106,$L103:$L106, N103:N106)</f>
        <v>#NAME?</v>
      </c>
      <c r="AR103" s="48" t="e">
        <f ca="1">bdrateOld($AC103:$AC106,AF103:AF106,$L103:$L106, O103:O106)</f>
        <v>#NAME?</v>
      </c>
    </row>
    <row r="104" spans="1:44">
      <c r="A104" s="36"/>
      <c r="B104" s="36"/>
      <c r="C104" s="36">
        <v>27</v>
      </c>
      <c r="D104" s="17">
        <v>2349.7516799999999</v>
      </c>
      <c r="E104" s="18">
        <v>38.922184399999999</v>
      </c>
      <c r="F104" s="18">
        <v>44.158731000000003</v>
      </c>
      <c r="G104" s="18">
        <v>43.8550696</v>
      </c>
      <c r="H104" s="18">
        <v>41707.769999999997</v>
      </c>
      <c r="I104" s="18">
        <v>70.718000000000004</v>
      </c>
      <c r="J104" s="19">
        <v>45.16204722222222</v>
      </c>
      <c r="L104" s="17"/>
      <c r="M104" s="18"/>
      <c r="N104" s="18"/>
      <c r="O104" s="18"/>
      <c r="P104" s="18"/>
      <c r="Q104" s="18"/>
      <c r="R104" s="19"/>
      <c r="S104" s="18">
        <f t="shared" si="15"/>
        <v>0</v>
      </c>
      <c r="T104" s="18">
        <f t="shared" si="15"/>
        <v>0</v>
      </c>
      <c r="U104" s="60"/>
      <c r="V104" s="43"/>
      <c r="W104" s="26"/>
      <c r="X104" s="26"/>
      <c r="Y104" s="43"/>
      <c r="Z104" s="26"/>
      <c r="AA104" s="55"/>
      <c r="AB104" s="20"/>
      <c r="AC104" s="17"/>
      <c r="AD104" s="18"/>
      <c r="AE104" s="18"/>
      <c r="AF104" s="18"/>
      <c r="AG104" s="18"/>
      <c r="AH104" s="18"/>
      <c r="AI104" s="19"/>
      <c r="AJ104" s="18" t="e">
        <f t="shared" si="13"/>
        <v>#DIV/0!</v>
      </c>
      <c r="AK104" s="18" t="e">
        <f t="shared" si="14"/>
        <v>#DIV/0!</v>
      </c>
      <c r="AL104" s="20"/>
      <c r="AM104" s="43"/>
      <c r="AN104" s="26"/>
      <c r="AO104" s="55"/>
      <c r="AP104" s="43"/>
      <c r="AQ104" s="26"/>
      <c r="AR104" s="55"/>
    </row>
    <row r="105" spans="1:44">
      <c r="A105" s="36"/>
      <c r="B105" s="36"/>
      <c r="C105" s="36">
        <v>32</v>
      </c>
      <c r="D105" s="17">
        <v>1229.5219199999999</v>
      </c>
      <c r="E105" s="18">
        <v>35.477729799999899</v>
      </c>
      <c r="F105" s="18">
        <v>42.371589799999903</v>
      </c>
      <c r="G105" s="18">
        <v>41.815902199999897</v>
      </c>
      <c r="H105" s="18">
        <v>32382.4399999999</v>
      </c>
      <c r="I105" s="18">
        <v>64.548000000000002</v>
      </c>
      <c r="J105" s="19">
        <v>35.58251111111111</v>
      </c>
      <c r="L105" s="17"/>
      <c r="M105" s="18"/>
      <c r="N105" s="18"/>
      <c r="O105" s="18"/>
      <c r="P105" s="18"/>
      <c r="Q105" s="18"/>
      <c r="R105" s="19"/>
      <c r="S105" s="18">
        <f t="shared" si="15"/>
        <v>0</v>
      </c>
      <c r="T105" s="18">
        <f t="shared" si="15"/>
        <v>0</v>
      </c>
      <c r="U105" s="60"/>
      <c r="V105" s="43"/>
      <c r="W105" s="26"/>
      <c r="X105" s="26"/>
      <c r="Y105" s="43"/>
      <c r="Z105" s="26"/>
      <c r="AA105" s="55"/>
      <c r="AB105" s="20"/>
      <c r="AC105" s="17"/>
      <c r="AD105" s="18"/>
      <c r="AE105" s="18"/>
      <c r="AF105" s="18"/>
      <c r="AG105" s="18"/>
      <c r="AH105" s="18"/>
      <c r="AI105" s="19"/>
      <c r="AJ105" s="18" t="e">
        <f t="shared" si="13"/>
        <v>#DIV/0!</v>
      </c>
      <c r="AK105" s="18" t="e">
        <f t="shared" si="14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>
      <c r="A106" s="36"/>
      <c r="B106" s="37"/>
      <c r="C106" s="37">
        <v>37</v>
      </c>
      <c r="D106" s="22">
        <v>611.58479999999997</v>
      </c>
      <c r="E106" s="23">
        <v>32.291986799999897</v>
      </c>
      <c r="F106" s="23">
        <v>40.7106163999999</v>
      </c>
      <c r="G106" s="23">
        <v>39.646520000000002</v>
      </c>
      <c r="H106" s="23">
        <v>26121.845000000001</v>
      </c>
      <c r="I106" s="23">
        <v>57.829000000000001</v>
      </c>
      <c r="J106" s="24">
        <v>28.837197222222223</v>
      </c>
      <c r="L106" s="22"/>
      <c r="M106" s="23"/>
      <c r="N106" s="23"/>
      <c r="O106" s="23"/>
      <c r="P106" s="23"/>
      <c r="Q106" s="23"/>
      <c r="R106" s="24"/>
      <c r="S106" s="18">
        <f t="shared" si="15"/>
        <v>0</v>
      </c>
      <c r="T106" s="18">
        <f t="shared" si="15"/>
        <v>0</v>
      </c>
      <c r="U106" s="60"/>
      <c r="V106" s="44"/>
      <c r="W106" s="56"/>
      <c r="X106" s="56"/>
      <c r="Y106" s="44"/>
      <c r="Z106" s="56"/>
      <c r="AA106" s="57"/>
      <c r="AB106" s="20"/>
      <c r="AC106" s="22"/>
      <c r="AD106" s="23"/>
      <c r="AE106" s="23"/>
      <c r="AF106" s="23"/>
      <c r="AG106" s="23"/>
      <c r="AH106" s="23"/>
      <c r="AI106" s="24"/>
      <c r="AJ106" s="18" t="e">
        <f t="shared" si="13"/>
        <v>#DIV/0!</v>
      </c>
      <c r="AK106" s="18" t="e">
        <f t="shared" si="14"/>
        <v>#DIV/0!</v>
      </c>
      <c r="AL106" s="20"/>
      <c r="AM106" s="44"/>
      <c r="AN106" s="56"/>
      <c r="AO106" s="57"/>
      <c r="AP106" s="44"/>
      <c r="AQ106" s="56"/>
      <c r="AR106" s="57"/>
    </row>
    <row r="107" spans="1:44">
      <c r="A107" s="36"/>
      <c r="B107" s="35" t="s">
        <v>69</v>
      </c>
      <c r="C107" s="35">
        <v>22</v>
      </c>
      <c r="D107" s="12">
        <v>1308.2464</v>
      </c>
      <c r="E107" s="13">
        <v>50.155994666666601</v>
      </c>
      <c r="F107" s="13">
        <v>48.012406999999897</v>
      </c>
      <c r="G107" s="13">
        <v>47.963107000000001</v>
      </c>
      <c r="H107" s="13">
        <v>7055.8279999999904</v>
      </c>
      <c r="I107" s="13">
        <v>29.390999999999998</v>
      </c>
      <c r="J107" s="14">
        <v>6.3458694444444443</v>
      </c>
      <c r="L107" s="12"/>
      <c r="M107" s="13"/>
      <c r="N107" s="13"/>
      <c r="O107" s="13"/>
      <c r="P107" s="13"/>
      <c r="Q107" s="13"/>
      <c r="R107" s="14"/>
      <c r="S107" s="18">
        <f t="shared" si="15"/>
        <v>0</v>
      </c>
      <c r="T107" s="18">
        <f t="shared" si="15"/>
        <v>0</v>
      </c>
      <c r="U107" s="60"/>
      <c r="V107" s="42" t="e">
        <f ca="1">bdrate($D107:$D110,E107:E110,$L107:$L110,M107:M110)</f>
        <v>#NAME?</v>
      </c>
      <c r="W107" s="47" t="e">
        <f ca="1">bdrate($D107:$D110,F107:F110,$L107:$L110,N107:N110)</f>
        <v>#NAME?</v>
      </c>
      <c r="X107" s="47" t="e">
        <f ca="1">bdrate($D107:$D110,G107:G110,$L107:$L110,O107:O110)</f>
        <v>#NAME?</v>
      </c>
      <c r="Y107" s="45" t="e">
        <f ca="1">bdrateOld($D107:$D110,E107:E110,$L107:$L110,M107:M110)</f>
        <v>#NAME?</v>
      </c>
      <c r="Z107" s="49" t="e">
        <f ca="1">bdrateOld($D107:$D110,F107:F110,$L107:$L110,N107:N110)</f>
        <v>#NAME?</v>
      </c>
      <c r="AA107" s="50" t="e">
        <f ca="1">bdrateOld($D107:$D110,G107:G110,$L107:$L110,O107:O110)</f>
        <v>#NAME?</v>
      </c>
      <c r="AB107" s="20"/>
      <c r="AC107" s="12"/>
      <c r="AD107" s="13"/>
      <c r="AE107" s="13"/>
      <c r="AF107" s="13"/>
      <c r="AG107" s="13"/>
      <c r="AH107" s="13"/>
      <c r="AI107" s="14"/>
      <c r="AJ107" s="18" t="e">
        <f t="shared" si="13"/>
        <v>#DIV/0!</v>
      </c>
      <c r="AK107" s="18" t="e">
        <f t="shared" si="14"/>
        <v>#DIV/0!</v>
      </c>
      <c r="AL107" s="20"/>
      <c r="AM107" s="42" t="e">
        <f ca="1">bdrate($AC107:$AC110,AD107:AD110,$L107:$L110, M107:M110)</f>
        <v>#NAME?</v>
      </c>
      <c r="AN107" s="47" t="e">
        <f ca="1">bdrate($AC107:$AC110,AE107:AE110,$L107:$L110, N107:N110)</f>
        <v>#NAME?</v>
      </c>
      <c r="AO107" s="48" t="e">
        <f ca="1">bdrate($AC107:$AC110,AF107:AF110,$L107:$L110, O107:O110)</f>
        <v>#NAME?</v>
      </c>
      <c r="AP107" s="42" t="e">
        <f ca="1">bdrateOld($AC107:$AC110,AD107:AD110,$L107:$L110, M107:M110)</f>
        <v>#NAME?</v>
      </c>
      <c r="AQ107" s="47" t="e">
        <f ca="1">bdrateOld($AC107:$AC110,AE107:AE110,$L107:$L110, N107:N110)</f>
        <v>#NAME?</v>
      </c>
      <c r="AR107" s="48" t="e">
        <f ca="1">bdrateOld($AC107:$AC110,AF107:AF110,$L107:$L110, O107:O110)</f>
        <v>#NAME?</v>
      </c>
    </row>
    <row r="108" spans="1:44">
      <c r="A108" s="36"/>
      <c r="B108" s="36"/>
      <c r="C108" s="36">
        <v>27</v>
      </c>
      <c r="D108" s="17">
        <v>994.7</v>
      </c>
      <c r="E108" s="18">
        <v>46.099287333333301</v>
      </c>
      <c r="F108" s="18">
        <v>43.775575666666597</v>
      </c>
      <c r="G108" s="18">
        <v>44.190417666666598</v>
      </c>
      <c r="H108" s="18">
        <v>6859.7190000000001</v>
      </c>
      <c r="I108" s="18">
        <v>29.765999999999998</v>
      </c>
      <c r="J108" s="19">
        <v>6.069466666666667</v>
      </c>
      <c r="L108" s="17"/>
      <c r="M108" s="18"/>
      <c r="N108" s="18"/>
      <c r="O108" s="18"/>
      <c r="P108" s="18"/>
      <c r="Q108" s="18"/>
      <c r="R108" s="19"/>
      <c r="S108" s="18">
        <f t="shared" si="15"/>
        <v>0</v>
      </c>
      <c r="T108" s="18">
        <f t="shared" si="15"/>
        <v>0</v>
      </c>
      <c r="U108" s="60"/>
      <c r="V108" s="43"/>
      <c r="W108" s="26"/>
      <c r="X108" s="26"/>
      <c r="Y108" s="43"/>
      <c r="Z108" s="26"/>
      <c r="AA108" s="55"/>
      <c r="AB108" s="20"/>
      <c r="AC108" s="17"/>
      <c r="AD108" s="18"/>
      <c r="AE108" s="18"/>
      <c r="AF108" s="18"/>
      <c r="AG108" s="18"/>
      <c r="AH108" s="18"/>
      <c r="AI108" s="19"/>
      <c r="AJ108" s="18" t="e">
        <f t="shared" si="13"/>
        <v>#DIV/0!</v>
      </c>
      <c r="AK108" s="18" t="e">
        <f t="shared" si="14"/>
        <v>#DIV/0!</v>
      </c>
      <c r="AL108" s="20"/>
      <c r="AM108" s="43"/>
      <c r="AN108" s="26"/>
      <c r="AO108" s="55"/>
      <c r="AP108" s="43"/>
      <c r="AQ108" s="26"/>
      <c r="AR108" s="55"/>
    </row>
    <row r="109" spans="1:44">
      <c r="A109" s="36"/>
      <c r="B109" s="36"/>
      <c r="C109" s="36">
        <v>32</v>
      </c>
      <c r="D109" s="17">
        <v>757.32319999999902</v>
      </c>
      <c r="E109" s="18">
        <v>41.552923</v>
      </c>
      <c r="F109" s="18">
        <v>40.778382333333298</v>
      </c>
      <c r="G109" s="18">
        <v>41.667815999999902</v>
      </c>
      <c r="H109" s="18">
        <v>6560.7509999999902</v>
      </c>
      <c r="I109" s="18">
        <v>29.4849999999999</v>
      </c>
      <c r="J109" s="19">
        <v>5.7261944444444444</v>
      </c>
      <c r="L109" s="17"/>
      <c r="M109" s="18"/>
      <c r="N109" s="18"/>
      <c r="O109" s="18"/>
      <c r="P109" s="18"/>
      <c r="Q109" s="18"/>
      <c r="R109" s="19"/>
      <c r="S109" s="18">
        <f t="shared" si="15"/>
        <v>0</v>
      </c>
      <c r="T109" s="18">
        <f t="shared" si="15"/>
        <v>0</v>
      </c>
      <c r="U109" s="60"/>
      <c r="V109" s="43"/>
      <c r="W109" s="26"/>
      <c r="X109" s="26"/>
      <c r="Y109" s="43"/>
      <c r="Z109" s="26"/>
      <c r="AA109" s="55"/>
      <c r="AB109" s="20"/>
      <c r="AC109" s="17"/>
      <c r="AD109" s="18"/>
      <c r="AE109" s="18"/>
      <c r="AF109" s="18"/>
      <c r="AG109" s="18"/>
      <c r="AH109" s="18"/>
      <c r="AI109" s="19"/>
      <c r="AJ109" s="18" t="e">
        <f t="shared" si="13"/>
        <v>#DIV/0!</v>
      </c>
      <c r="AK109" s="18" t="e">
        <f t="shared" si="14"/>
        <v>#DIV/0!</v>
      </c>
      <c r="AL109" s="20"/>
      <c r="AM109" s="43"/>
      <c r="AN109" s="26"/>
      <c r="AO109" s="55"/>
      <c r="AP109" s="43"/>
      <c r="AQ109" s="26"/>
      <c r="AR109" s="55"/>
    </row>
    <row r="110" spans="1:44" ht="12.75" thickBot="1">
      <c r="A110" s="36"/>
      <c r="B110" s="37"/>
      <c r="C110" s="37">
        <v>37</v>
      </c>
      <c r="D110" s="22">
        <v>569.40880000000004</v>
      </c>
      <c r="E110" s="23">
        <v>36.834349666666597</v>
      </c>
      <c r="F110" s="23">
        <v>38.976370666666597</v>
      </c>
      <c r="G110" s="23">
        <v>40.078530999999998</v>
      </c>
      <c r="H110" s="23">
        <v>6236.5629999999901</v>
      </c>
      <c r="I110" s="23">
        <v>28.343999999999902</v>
      </c>
      <c r="J110" s="24">
        <v>5.5203861111111108</v>
      </c>
      <c r="L110" s="22"/>
      <c r="M110" s="23"/>
      <c r="N110" s="23"/>
      <c r="O110" s="23"/>
      <c r="P110" s="23"/>
      <c r="Q110" s="23"/>
      <c r="R110" s="24"/>
      <c r="S110" s="18">
        <f t="shared" si="15"/>
        <v>0</v>
      </c>
      <c r="T110" s="18">
        <f t="shared" si="15"/>
        <v>0</v>
      </c>
      <c r="U110" s="60"/>
      <c r="V110" s="44"/>
      <c r="W110" s="56"/>
      <c r="X110" s="56"/>
      <c r="Y110" s="44"/>
      <c r="Z110" s="56"/>
      <c r="AA110" s="57"/>
      <c r="AB110" s="20"/>
      <c r="AC110" s="22"/>
      <c r="AD110" s="23"/>
      <c r="AE110" s="23"/>
      <c r="AF110" s="23"/>
      <c r="AG110" s="23"/>
      <c r="AH110" s="23"/>
      <c r="AI110" s="24"/>
      <c r="AJ110" s="18" t="e">
        <f t="shared" si="13"/>
        <v>#DIV/0!</v>
      </c>
      <c r="AK110" s="18" t="e">
        <f t="shared" si="14"/>
        <v>#DIV/0!</v>
      </c>
      <c r="AL110" s="20"/>
      <c r="AM110" s="44"/>
      <c r="AN110" s="56"/>
      <c r="AO110" s="57"/>
      <c r="AP110" s="44"/>
      <c r="AQ110" s="56"/>
      <c r="AR110" s="57"/>
    </row>
    <row r="111" spans="1:44">
      <c r="A111" s="36"/>
      <c r="B111" s="35" t="s">
        <v>70</v>
      </c>
      <c r="C111" s="35">
        <v>22</v>
      </c>
      <c r="D111" s="12">
        <v>750.15935999999999</v>
      </c>
      <c r="E111" s="13">
        <v>52.0053348</v>
      </c>
      <c r="F111" s="13">
        <v>54.858793399999897</v>
      </c>
      <c r="G111" s="13">
        <v>55.849227200000001</v>
      </c>
      <c r="H111" s="13">
        <v>21408.253999999899</v>
      </c>
      <c r="I111" s="13">
        <v>58.472000000000001</v>
      </c>
      <c r="J111" s="14">
        <v>20.201055555555556</v>
      </c>
      <c r="L111" s="12"/>
      <c r="M111" s="13"/>
      <c r="N111" s="13"/>
      <c r="O111" s="13"/>
      <c r="P111" s="13"/>
      <c r="Q111" s="13"/>
      <c r="R111" s="14"/>
      <c r="S111" s="18">
        <f t="shared" si="15"/>
        <v>0</v>
      </c>
      <c r="T111" s="18">
        <f t="shared" si="15"/>
        <v>0</v>
      </c>
      <c r="U111" s="60"/>
      <c r="V111" s="42" t="e">
        <f ca="1">bdrate($D111:$D114,E111:E114,$L111:$L114,M111:M114)</f>
        <v>#NAME?</v>
      </c>
      <c r="W111" s="47" t="e">
        <f ca="1">bdrate($D111:$D114,F111:F114,$L111:$L114,N111:N114)</f>
        <v>#NAME?</v>
      </c>
      <c r="X111" s="47" t="e">
        <f ca="1">bdrate($D111:$D114,G111:G114,$L111:$L114,O111:O114)</f>
        <v>#NAME?</v>
      </c>
      <c r="Y111" s="45" t="e">
        <f ca="1">bdrateOld($D111:$D114,E111:E114,$L111:$L114,M111:M114)</f>
        <v>#NAME?</v>
      </c>
      <c r="Z111" s="49" t="e">
        <f ca="1">bdrateOld($D111:$D114,F111:F114,$L111:$L114,N111:N114)</f>
        <v>#NAME?</v>
      </c>
      <c r="AA111" s="50" t="e">
        <f ca="1">bdrateOld($D111:$D114,G111:G114,$L111:$L114,O111:O114)</f>
        <v>#NAME?</v>
      </c>
      <c r="AB111" s="20"/>
      <c r="AC111" s="12"/>
      <c r="AD111" s="13"/>
      <c r="AE111" s="13"/>
      <c r="AF111" s="13"/>
      <c r="AG111" s="13"/>
      <c r="AH111" s="13"/>
      <c r="AI111" s="14"/>
      <c r="AJ111" s="18" t="e">
        <f t="shared" si="13"/>
        <v>#DIV/0!</v>
      </c>
      <c r="AK111" s="18" t="e">
        <f t="shared" si="14"/>
        <v>#DIV/0!</v>
      </c>
      <c r="AL111" s="20"/>
      <c r="AM111" s="42" t="e">
        <f ca="1">bdrate($AC111:$AC114,AD111:AD114,$L111:$L114, M111:M114)</f>
        <v>#NAME?</v>
      </c>
      <c r="AN111" s="47" t="e">
        <f ca="1">bdrate($AC111:$AC114,AE111:AE114,$L111:$L114, N111:N114)</f>
        <v>#NAME?</v>
      </c>
      <c r="AO111" s="48" t="e">
        <f ca="1">bdrate($AC111:$AC114,AF111:AF114,$L111:$L114, O111:O114)</f>
        <v>#NAME?</v>
      </c>
      <c r="AP111" s="42" t="e">
        <f ca="1">bdrateOld($AC111:$AC114,AD111:AD114,$L111:$L114, M111:M114)</f>
        <v>#NAME?</v>
      </c>
      <c r="AQ111" s="47" t="e">
        <f ca="1">bdrateOld($AC111:$AC114,AE111:AE114,$L111:$L114, N111:N114)</f>
        <v>#NAME?</v>
      </c>
      <c r="AR111" s="48" t="e">
        <f ca="1">bdrateOld($AC111:$AC114,AF111:AF114,$L111:$L114, O111:O114)</f>
        <v>#NAME?</v>
      </c>
    </row>
    <row r="112" spans="1:44">
      <c r="A112" s="36"/>
      <c r="B112" s="36"/>
      <c r="C112" s="36">
        <v>27</v>
      </c>
      <c r="D112" s="17">
        <v>456.52832000000001</v>
      </c>
      <c r="E112" s="18">
        <v>48.118228199999997</v>
      </c>
      <c r="F112" s="18">
        <v>52.100129599999903</v>
      </c>
      <c r="G112" s="18">
        <v>53.266197599999899</v>
      </c>
      <c r="H112" s="18">
        <v>19477.473000000002</v>
      </c>
      <c r="I112" s="18">
        <v>56.765999999999899</v>
      </c>
      <c r="J112" s="19">
        <v>17.761213888888889</v>
      </c>
      <c r="L112" s="17"/>
      <c r="M112" s="18"/>
      <c r="N112" s="18"/>
      <c r="O112" s="18"/>
      <c r="P112" s="18"/>
      <c r="Q112" s="18"/>
      <c r="R112" s="19"/>
      <c r="S112" s="18">
        <f t="shared" si="15"/>
        <v>0</v>
      </c>
      <c r="T112" s="18">
        <f t="shared" si="15"/>
        <v>0</v>
      </c>
      <c r="U112" s="60"/>
      <c r="V112" s="43"/>
      <c r="W112" s="26"/>
      <c r="X112" s="26"/>
      <c r="Y112" s="43"/>
      <c r="Z112" s="26"/>
      <c r="AA112" s="55"/>
      <c r="AB112" s="20"/>
      <c r="AC112" s="17"/>
      <c r="AD112" s="18"/>
      <c r="AE112" s="18"/>
      <c r="AF112" s="18"/>
      <c r="AG112" s="18"/>
      <c r="AH112" s="18"/>
      <c r="AI112" s="19"/>
      <c r="AJ112" s="18" t="e">
        <f t="shared" si="13"/>
        <v>#DIV/0!</v>
      </c>
      <c r="AK112" s="18" t="e">
        <f t="shared" si="14"/>
        <v>#DIV/0!</v>
      </c>
      <c r="AL112" s="20"/>
      <c r="AM112" s="43"/>
      <c r="AN112" s="26"/>
      <c r="AO112" s="55"/>
      <c r="AP112" s="43"/>
      <c r="AQ112" s="26"/>
      <c r="AR112" s="55"/>
    </row>
    <row r="113" spans="1:44">
      <c r="A113" s="36"/>
      <c r="B113" s="36"/>
      <c r="C113" s="36">
        <v>32</v>
      </c>
      <c r="D113" s="17">
        <v>295.56191999999999</v>
      </c>
      <c r="E113" s="18">
        <v>44.564034399999997</v>
      </c>
      <c r="F113" s="18">
        <v>49.724519999999899</v>
      </c>
      <c r="G113" s="18">
        <v>51.161935800000002</v>
      </c>
      <c r="H113" s="18">
        <v>18461.330999999998</v>
      </c>
      <c r="I113" s="18">
        <v>54.783000000000001</v>
      </c>
      <c r="J113" s="19">
        <v>15.736322222222222</v>
      </c>
      <c r="L113" s="17"/>
      <c r="M113" s="18"/>
      <c r="N113" s="18"/>
      <c r="O113" s="18"/>
      <c r="P113" s="18"/>
      <c r="Q113" s="18"/>
      <c r="R113" s="19"/>
      <c r="S113" s="18">
        <f t="shared" si="15"/>
        <v>0</v>
      </c>
      <c r="T113" s="18">
        <f t="shared" si="15"/>
        <v>0</v>
      </c>
      <c r="U113" s="60"/>
      <c r="V113" s="43"/>
      <c r="W113" s="26"/>
      <c r="X113" s="26"/>
      <c r="Y113" s="43"/>
      <c r="Z113" s="26"/>
      <c r="AA113" s="55"/>
      <c r="AB113" s="20"/>
      <c r="AC113" s="17"/>
      <c r="AD113" s="18"/>
      <c r="AE113" s="18"/>
      <c r="AF113" s="18"/>
      <c r="AG113" s="18"/>
      <c r="AH113" s="18"/>
      <c r="AI113" s="19"/>
      <c r="AJ113" s="18" t="e">
        <f t="shared" si="13"/>
        <v>#DIV/0!</v>
      </c>
      <c r="AK113" s="18" t="e">
        <f t="shared" si="14"/>
        <v>#DIV/0!</v>
      </c>
      <c r="AL113" s="20"/>
      <c r="AM113" s="43"/>
      <c r="AN113" s="26"/>
      <c r="AO113" s="55"/>
      <c r="AP113" s="43"/>
      <c r="AQ113" s="26"/>
      <c r="AR113" s="55"/>
    </row>
    <row r="114" spans="1:44" ht="12.75" thickBot="1">
      <c r="A114" s="37"/>
      <c r="B114" s="37"/>
      <c r="C114" s="37">
        <v>37</v>
      </c>
      <c r="D114" s="22">
        <v>192.62111999999999</v>
      </c>
      <c r="E114" s="23">
        <v>40.999152600000002</v>
      </c>
      <c r="F114" s="23">
        <v>47.487980199999903</v>
      </c>
      <c r="G114" s="23">
        <v>49.411079600000001</v>
      </c>
      <c r="H114" s="23">
        <v>17277.548999999999</v>
      </c>
      <c r="I114" s="23">
        <v>54.816000000000003</v>
      </c>
      <c r="J114" s="24">
        <v>14.20071111111111</v>
      </c>
      <c r="L114" s="22"/>
      <c r="M114" s="23"/>
      <c r="N114" s="23"/>
      <c r="O114" s="23"/>
      <c r="P114" s="23"/>
      <c r="Q114" s="23"/>
      <c r="R114" s="24"/>
      <c r="S114" s="23">
        <f t="shared" si="15"/>
        <v>0</v>
      </c>
      <c r="T114" s="23">
        <f t="shared" si="15"/>
        <v>0</v>
      </c>
      <c r="U114" s="61"/>
      <c r="V114" s="44"/>
      <c r="W114" s="56"/>
      <c r="X114" s="56"/>
      <c r="Y114" s="44"/>
      <c r="Z114" s="56"/>
      <c r="AA114" s="57"/>
      <c r="AB114" s="25"/>
      <c r="AC114" s="22"/>
      <c r="AD114" s="23"/>
      <c r="AE114" s="23"/>
      <c r="AF114" s="23"/>
      <c r="AG114" s="23"/>
      <c r="AH114" s="23"/>
      <c r="AI114" s="24"/>
      <c r="AJ114" s="23" t="e">
        <f t="shared" si="13"/>
        <v>#DIV/0!</v>
      </c>
      <c r="AK114" s="23" t="e">
        <f t="shared" si="14"/>
        <v>#DIV/0!</v>
      </c>
      <c r="AL114" s="25"/>
      <c r="AM114" s="44"/>
      <c r="AN114" s="56"/>
      <c r="AO114" s="57"/>
      <c r="AP114" s="44"/>
      <c r="AQ114" s="56"/>
      <c r="AR114" s="57"/>
    </row>
    <row r="115" spans="1:44">
      <c r="B115" s="1" t="s">
        <v>76</v>
      </c>
      <c r="I115" s="15">
        <f>GEOMEAN(I3:I18)</f>
        <v>303.95763342088168</v>
      </c>
      <c r="J115" s="15" t="e">
        <f>GEOMEAN(J3:J18)</f>
        <v>#NUM!</v>
      </c>
      <c r="Q115" s="15" t="e">
        <f>GEOMEAN(Q3:Q18)</f>
        <v>#NUM!</v>
      </c>
      <c r="R115" s="15" t="e">
        <f>GEOMEAN(R3:R18)</f>
        <v>#NUM!</v>
      </c>
      <c r="S115" s="15" t="e">
        <f t="shared" ref="S115:T115" si="16">GEOMEAN(S3:S18)</f>
        <v>#DIV/0!</v>
      </c>
      <c r="T115" s="15" t="e">
        <f t="shared" si="16"/>
        <v>#DIV/0!</v>
      </c>
      <c r="V115" s="42" t="e">
        <f ca="1">AVERAGE(V3:V18)</f>
        <v>#NAME?</v>
      </c>
      <c r="W115" s="47" t="e">
        <f t="shared" ref="W115:AA115" ca="1" si="17">AVERAGE(W3:W18)</f>
        <v>#NAME?</v>
      </c>
      <c r="X115" s="47" t="e">
        <f t="shared" ca="1" si="17"/>
        <v>#NAME?</v>
      </c>
      <c r="Y115" s="42" t="e">
        <f t="shared" ca="1" si="17"/>
        <v>#NAME?</v>
      </c>
      <c r="Z115" s="47" t="e">
        <f t="shared" ca="1" si="17"/>
        <v>#NAME?</v>
      </c>
      <c r="AA115" s="48" t="e">
        <f t="shared" ca="1" si="17"/>
        <v>#NAME?</v>
      </c>
      <c r="AH115" s="15" t="e">
        <f>GEOMEAN(AH3:AH18)</f>
        <v>#NUM!</v>
      </c>
      <c r="AI115" s="15" t="e">
        <f>GEOMEAN(AI3:AI18)</f>
        <v>#NUM!</v>
      </c>
      <c r="AJ115" s="15" t="e">
        <f t="shared" ref="AJ115:AK115" si="18">GEOMEAN(AJ3:AJ18)</f>
        <v>#DIV/0!</v>
      </c>
      <c r="AK115" s="15" t="e">
        <f t="shared" si="18"/>
        <v>#DIV/0!</v>
      </c>
      <c r="AM115" s="42" t="e">
        <f ca="1">AVERAGE(AM3:AM18)</f>
        <v>#NAME?</v>
      </c>
      <c r="AN115" s="47" t="e">
        <f t="shared" ref="AN115:AR115" ca="1" si="19">AVERAGE(AN3:AN18)</f>
        <v>#NAME?</v>
      </c>
      <c r="AO115" s="47" t="e">
        <f t="shared" ca="1" si="19"/>
        <v>#NAME?</v>
      </c>
      <c r="AP115" s="42" t="e">
        <f t="shared" ca="1" si="19"/>
        <v>#NAME?</v>
      </c>
      <c r="AQ115" s="47" t="e">
        <f t="shared" ca="1" si="19"/>
        <v>#NAME?</v>
      </c>
      <c r="AR115" s="48" t="e">
        <f t="shared" ca="1" si="19"/>
        <v>#NAME?</v>
      </c>
    </row>
    <row r="116" spans="1:44">
      <c r="B116" s="1" t="s">
        <v>77</v>
      </c>
      <c r="I116" s="15">
        <f>GEOMEAN(I19:I34)</f>
        <v>258.95337833174551</v>
      </c>
      <c r="J116" s="15">
        <f>GEOMEAN(J19:J34)</f>
        <v>98.868037438254646</v>
      </c>
      <c r="Q116" s="15" t="e">
        <f>GEOMEAN(Q19:Q34)</f>
        <v>#NUM!</v>
      </c>
      <c r="R116" s="15" t="e">
        <f>GEOMEAN(R19:R34)</f>
        <v>#NUM!</v>
      </c>
      <c r="S116" s="15" t="e">
        <f t="shared" ref="S116:T116" si="20">GEOMEAN(S19:S34)</f>
        <v>#NUM!</v>
      </c>
      <c r="T116" s="15" t="e">
        <f t="shared" si="20"/>
        <v>#NUM!</v>
      </c>
      <c r="V116" s="45" t="e">
        <f ca="1">AVERAGE(V19:V34)</f>
        <v>#NAME?</v>
      </c>
      <c r="W116" s="49" t="e">
        <f t="shared" ref="W116:AA116" ca="1" si="21">AVERAGE(W19:W34)</f>
        <v>#NAME?</v>
      </c>
      <c r="X116" s="49" t="e">
        <f t="shared" ca="1" si="21"/>
        <v>#NAME?</v>
      </c>
      <c r="Y116" s="45" t="e">
        <f t="shared" ca="1" si="21"/>
        <v>#NAME?</v>
      </c>
      <c r="Z116" s="49" t="e">
        <f t="shared" ca="1" si="21"/>
        <v>#NAME?</v>
      </c>
      <c r="AA116" s="50" t="e">
        <f t="shared" ca="1" si="21"/>
        <v>#NAME?</v>
      </c>
      <c r="AH116" s="15" t="e">
        <f>GEOMEAN(AH19:AH34)</f>
        <v>#NUM!</v>
      </c>
      <c r="AI116" s="15" t="e">
        <f>GEOMEAN(AI19:AI34)</f>
        <v>#NUM!</v>
      </c>
      <c r="AJ116" s="15" t="e">
        <f t="shared" ref="AJ116:AK116" si="22">GEOMEAN(AJ19:AJ34)</f>
        <v>#DIV/0!</v>
      </c>
      <c r="AK116" s="15" t="e">
        <f t="shared" si="22"/>
        <v>#DIV/0!</v>
      </c>
      <c r="AM116" s="45" t="e">
        <f ca="1">AVERAGE(AM19:AM34)</f>
        <v>#NAME?</v>
      </c>
      <c r="AN116" s="49" t="e">
        <f t="shared" ref="AN116:AR116" ca="1" si="23">AVERAGE(AN19:AN34)</f>
        <v>#NAME?</v>
      </c>
      <c r="AO116" s="49" t="e">
        <f t="shared" ca="1" si="23"/>
        <v>#NAME?</v>
      </c>
      <c r="AP116" s="45" t="e">
        <f t="shared" ca="1" si="23"/>
        <v>#NAME?</v>
      </c>
      <c r="AQ116" s="49" t="e">
        <f t="shared" ca="1" si="23"/>
        <v>#NAME?</v>
      </c>
      <c r="AR116" s="50" t="e">
        <f t="shared" ca="1" si="23"/>
        <v>#NAME?</v>
      </c>
    </row>
    <row r="117" spans="1:44">
      <c r="B117" s="1" t="s">
        <v>1</v>
      </c>
      <c r="I117" s="15">
        <f>GEOMEAN(I35:I54)</f>
        <v>104.63265708817354</v>
      </c>
      <c r="J117" s="15">
        <f>GEOMEAN(J35:J54)</f>
        <v>42.052181066563179</v>
      </c>
      <c r="Q117" s="15" t="e">
        <f>GEOMEAN(Q35:Q54)</f>
        <v>#NUM!</v>
      </c>
      <c r="R117" s="15" t="e">
        <f>GEOMEAN(R35:R54)</f>
        <v>#NUM!</v>
      </c>
      <c r="S117" s="15" t="e">
        <f t="shared" ref="S117:T117" si="24">GEOMEAN(S35:S54)</f>
        <v>#NUM!</v>
      </c>
      <c r="T117" s="15" t="e">
        <f t="shared" si="24"/>
        <v>#NUM!</v>
      </c>
      <c r="V117" s="45" t="e">
        <f ca="1">AVERAGE(V35:V54)</f>
        <v>#NAME?</v>
      </c>
      <c r="W117" s="49" t="e">
        <f t="shared" ref="W117:AA117" ca="1" si="25">AVERAGE(W35:W54)</f>
        <v>#NAME?</v>
      </c>
      <c r="X117" s="49" t="e">
        <f t="shared" ca="1" si="25"/>
        <v>#NAME?</v>
      </c>
      <c r="Y117" s="45" t="e">
        <f t="shared" ca="1" si="25"/>
        <v>#NAME?</v>
      </c>
      <c r="Z117" s="49" t="e">
        <f t="shared" ca="1" si="25"/>
        <v>#NAME?</v>
      </c>
      <c r="AA117" s="50" t="e">
        <f t="shared" ca="1" si="25"/>
        <v>#NAME?</v>
      </c>
      <c r="AH117" s="15" t="e">
        <f>GEOMEAN(AH35:AH54)</f>
        <v>#NUM!</v>
      </c>
      <c r="AI117" s="15" t="e">
        <f>GEOMEAN(AI35:AI54)</f>
        <v>#NUM!</v>
      </c>
      <c r="AJ117" s="15" t="e">
        <f t="shared" ref="AJ117:AK117" si="26">GEOMEAN(AJ35:AJ54)</f>
        <v>#DIV/0!</v>
      </c>
      <c r="AK117" s="15" t="e">
        <f t="shared" si="26"/>
        <v>#DIV/0!</v>
      </c>
      <c r="AM117" s="45" t="e">
        <f ca="1">AVERAGE(AM35:AM54)</f>
        <v>#NAME?</v>
      </c>
      <c r="AN117" s="49" t="e">
        <f t="shared" ref="AN117:AR117" ca="1" si="27">AVERAGE(AN35:AN54)</f>
        <v>#NAME?</v>
      </c>
      <c r="AO117" s="49" t="e">
        <f t="shared" ca="1" si="27"/>
        <v>#NAME?</v>
      </c>
      <c r="AP117" s="45" t="e">
        <f t="shared" ca="1" si="27"/>
        <v>#NAME?</v>
      </c>
      <c r="AQ117" s="49" t="e">
        <f t="shared" ca="1" si="27"/>
        <v>#NAME?</v>
      </c>
      <c r="AR117" s="50" t="e">
        <f t="shared" ca="1" si="27"/>
        <v>#NAME?</v>
      </c>
    </row>
    <row r="118" spans="1:44">
      <c r="B118" s="1" t="s">
        <v>7</v>
      </c>
      <c r="I118" s="15">
        <f>GEOMEAN(I55:I70)</f>
        <v>42.165826178914791</v>
      </c>
      <c r="J118" s="15">
        <f>GEOMEAN(J55:J70)</f>
        <v>17.668662422088182</v>
      </c>
      <c r="Q118" s="15" t="e">
        <f>GEOMEAN(Q55:Q70)</f>
        <v>#NUM!</v>
      </c>
      <c r="R118" s="15" t="e">
        <f>GEOMEAN(R55:R70)</f>
        <v>#NUM!</v>
      </c>
      <c r="S118" s="15" t="e">
        <f t="shared" ref="S118:T118" si="28">GEOMEAN(S55:S70)</f>
        <v>#NUM!</v>
      </c>
      <c r="T118" s="15" t="e">
        <f t="shared" si="28"/>
        <v>#NUM!</v>
      </c>
      <c r="V118" s="45" t="e">
        <f ca="1">AVERAGE(V55:V70)</f>
        <v>#NAME?</v>
      </c>
      <c r="W118" s="49" t="e">
        <f t="shared" ref="W118:AA118" ca="1" si="29">AVERAGE(W55:W70)</f>
        <v>#NAME?</v>
      </c>
      <c r="X118" s="49" t="e">
        <f t="shared" ca="1" si="29"/>
        <v>#NAME?</v>
      </c>
      <c r="Y118" s="45" t="e">
        <f t="shared" ca="1" si="29"/>
        <v>#NAME?</v>
      </c>
      <c r="Z118" s="49" t="e">
        <f t="shared" ca="1" si="29"/>
        <v>#NAME?</v>
      </c>
      <c r="AA118" s="50" t="e">
        <f t="shared" ca="1" si="29"/>
        <v>#NAME?</v>
      </c>
      <c r="AH118" s="15" t="e">
        <f>GEOMEAN(AH55:AH70)</f>
        <v>#NUM!</v>
      </c>
      <c r="AI118" s="15" t="e">
        <f>GEOMEAN(AI55:AI70)</f>
        <v>#NUM!</v>
      </c>
      <c r="AJ118" s="15" t="e">
        <f t="shared" ref="AJ118:AK118" si="30">GEOMEAN(AJ55:AJ70)</f>
        <v>#DIV/0!</v>
      </c>
      <c r="AK118" s="15" t="e">
        <f t="shared" si="30"/>
        <v>#DIV/0!</v>
      </c>
      <c r="AM118" s="45" t="e">
        <f ca="1">AVERAGE(AM55:AM70)</f>
        <v>#NAME?</v>
      </c>
      <c r="AN118" s="49" t="e">
        <f t="shared" ref="AN118:AR118" ca="1" si="31">AVERAGE(AN55:AN70)</f>
        <v>#NAME?</v>
      </c>
      <c r="AO118" s="49" t="e">
        <f t="shared" ca="1" si="31"/>
        <v>#NAME?</v>
      </c>
      <c r="AP118" s="45" t="e">
        <f t="shared" ca="1" si="31"/>
        <v>#NAME?</v>
      </c>
      <c r="AQ118" s="49" t="e">
        <f t="shared" ca="1" si="31"/>
        <v>#NAME?</v>
      </c>
      <c r="AR118" s="50" t="e">
        <f t="shared" ca="1" si="31"/>
        <v>#NAME?</v>
      </c>
    </row>
    <row r="119" spans="1:44">
      <c r="B119" s="1" t="s">
        <v>8</v>
      </c>
      <c r="I119" s="15">
        <f>GEOMEAN(I71:I86)</f>
        <v>26.356079924073121</v>
      </c>
      <c r="J119" s="15">
        <f>GEOMEAN(J71:J86)</f>
        <v>4.2050127977883482</v>
      </c>
      <c r="Q119" s="15" t="e">
        <f>GEOMEAN(Q71:Q86)</f>
        <v>#NUM!</v>
      </c>
      <c r="R119" s="15" t="e">
        <f>GEOMEAN(R71:R86)</f>
        <v>#NUM!</v>
      </c>
      <c r="S119" s="15" t="e">
        <f t="shared" ref="S119:T119" si="32">GEOMEAN(S71:S86)</f>
        <v>#NUM!</v>
      </c>
      <c r="T119" s="15" t="e">
        <f t="shared" si="32"/>
        <v>#NUM!</v>
      </c>
      <c r="V119" s="45" t="e">
        <f ca="1">AVERAGE(V71:V86)</f>
        <v>#NAME?</v>
      </c>
      <c r="W119" s="49" t="e">
        <f t="shared" ref="W119:AA119" ca="1" si="33">AVERAGE(W71:W86)</f>
        <v>#NAME?</v>
      </c>
      <c r="X119" s="49" t="e">
        <f t="shared" ca="1" si="33"/>
        <v>#NAME?</v>
      </c>
      <c r="Y119" s="45" t="e">
        <f t="shared" ca="1" si="33"/>
        <v>#NAME?</v>
      </c>
      <c r="Z119" s="49" t="e">
        <f t="shared" ca="1" si="33"/>
        <v>#NAME?</v>
      </c>
      <c r="AA119" s="50" t="e">
        <f t="shared" ca="1" si="33"/>
        <v>#NAME?</v>
      </c>
      <c r="AH119" s="15" t="e">
        <f>GEOMEAN(AH71:AH86)</f>
        <v>#NUM!</v>
      </c>
      <c r="AI119" s="15" t="e">
        <f>GEOMEAN(AI71:AI86)</f>
        <v>#NUM!</v>
      </c>
      <c r="AJ119" s="15" t="e">
        <f t="shared" ref="AJ119:AK119" si="34">GEOMEAN(AJ71:AJ86)</f>
        <v>#DIV/0!</v>
      </c>
      <c r="AK119" s="15" t="e">
        <f t="shared" si="34"/>
        <v>#DIV/0!</v>
      </c>
      <c r="AM119" s="45" t="e">
        <f ca="1">AVERAGE(AM71:AM86)</f>
        <v>#NAME?</v>
      </c>
      <c r="AN119" s="49" t="e">
        <f t="shared" ref="AN119:AR119" ca="1" si="35">AVERAGE(AN71:AN86)</f>
        <v>#NAME?</v>
      </c>
      <c r="AO119" s="49" t="e">
        <f t="shared" ca="1" si="35"/>
        <v>#NAME?</v>
      </c>
      <c r="AP119" s="45" t="e">
        <f t="shared" ca="1" si="35"/>
        <v>#NAME?</v>
      </c>
      <c r="AQ119" s="49" t="e">
        <f t="shared" ca="1" si="35"/>
        <v>#NAME?</v>
      </c>
      <c r="AR119" s="50" t="e">
        <f t="shared" ca="1" si="35"/>
        <v>#NAME?</v>
      </c>
    </row>
    <row r="120" spans="1:44">
      <c r="B120" s="1" t="s">
        <v>9</v>
      </c>
      <c r="I120" s="15" t="e">
        <f>GEOMEAN(I87:I98)</f>
        <v>#NUM!</v>
      </c>
      <c r="J120" s="15" t="e">
        <f>GEOMEAN(J87:J98)</f>
        <v>#NUM!</v>
      </c>
      <c r="Q120" s="15" t="e">
        <f>GEOMEAN(Q87:Q98)</f>
        <v>#NUM!</v>
      </c>
      <c r="R120" s="15" t="e">
        <f>GEOMEAN(R87:R98)</f>
        <v>#NUM!</v>
      </c>
      <c r="S120" s="15" t="e">
        <f t="shared" ref="S120:T120" si="36">GEOMEAN(S87:S98)</f>
        <v>#NUM!</v>
      </c>
      <c r="T120" s="15" t="e">
        <f t="shared" si="36"/>
        <v>#NUM!</v>
      </c>
      <c r="V120" s="45" t="e">
        <f>AVERAGE(V87:V96)</f>
        <v>#DIV/0!</v>
      </c>
      <c r="W120" s="49" t="e">
        <f t="shared" ref="W120:AA120" si="37">AVERAGE(W87:W96)</f>
        <v>#DIV/0!</v>
      </c>
      <c r="X120" s="49" t="e">
        <f t="shared" si="37"/>
        <v>#DIV/0!</v>
      </c>
      <c r="Y120" s="45" t="e">
        <f t="shared" si="37"/>
        <v>#DIV/0!</v>
      </c>
      <c r="Z120" s="49" t="e">
        <f t="shared" si="37"/>
        <v>#DIV/0!</v>
      </c>
      <c r="AA120" s="50" t="e">
        <f t="shared" si="37"/>
        <v>#DIV/0!</v>
      </c>
      <c r="AH120" s="15" t="e">
        <f>GEOMEAN(AH87:AH98)</f>
        <v>#NUM!</v>
      </c>
      <c r="AI120" s="15" t="e">
        <f>GEOMEAN(AI87:AI98)</f>
        <v>#NUM!</v>
      </c>
      <c r="AJ120" s="15" t="e">
        <f t="shared" ref="AJ120:AK120" si="38">GEOMEAN(AJ87:AJ98)</f>
        <v>#NUM!</v>
      </c>
      <c r="AK120" s="15" t="e">
        <f t="shared" si="38"/>
        <v>#NUM!</v>
      </c>
      <c r="AM120" s="45" t="e">
        <f>AVERAGE(AM87:AM96)</f>
        <v>#DIV/0!</v>
      </c>
      <c r="AN120" s="49" t="e">
        <f t="shared" ref="AN120:AR120" si="39">AVERAGE(AN87:AN96)</f>
        <v>#DIV/0!</v>
      </c>
      <c r="AO120" s="49" t="e">
        <f t="shared" si="39"/>
        <v>#DIV/0!</v>
      </c>
      <c r="AP120" s="45" t="e">
        <f t="shared" si="39"/>
        <v>#DIV/0!</v>
      </c>
      <c r="AQ120" s="49" t="e">
        <f t="shared" si="39"/>
        <v>#DIV/0!</v>
      </c>
      <c r="AR120" s="50" t="e">
        <f t="shared" si="39"/>
        <v>#DIV/0!</v>
      </c>
    </row>
    <row r="121" spans="1:44" ht="12.75" thickBot="1">
      <c r="B121" s="1" t="s">
        <v>49</v>
      </c>
      <c r="I121" s="15">
        <f>GEOMEAN(I99:I114)</f>
        <v>46.412469957234705</v>
      </c>
      <c r="J121" s="15">
        <f>GEOMEAN(J99:J114)</f>
        <v>16.348369178967666</v>
      </c>
      <c r="Q121" s="15" t="e">
        <f>GEOMEAN(Q99:Q114)</f>
        <v>#NUM!</v>
      </c>
      <c r="R121" s="15" t="e">
        <f>GEOMEAN(R99:R114)</f>
        <v>#NUM!</v>
      </c>
      <c r="S121" s="15" t="e">
        <f t="shared" ref="S121:T121" si="40">GEOMEAN(S99:S114)</f>
        <v>#NUM!</v>
      </c>
      <c r="T121" s="15" t="e">
        <f t="shared" si="40"/>
        <v>#NUM!</v>
      </c>
      <c r="V121" s="45" t="e">
        <f ca="1">AVERAGE(V99:V114)</f>
        <v>#NAME?</v>
      </c>
      <c r="W121" s="49" t="e">
        <f t="shared" ref="W121:AA121" ca="1" si="41">AVERAGE(W99:W114)</f>
        <v>#NAME?</v>
      </c>
      <c r="X121" s="49" t="e">
        <f t="shared" ca="1" si="41"/>
        <v>#NAME?</v>
      </c>
      <c r="Y121" s="45" t="e">
        <f t="shared" ca="1" si="41"/>
        <v>#NAME?</v>
      </c>
      <c r="Z121" s="49" t="e">
        <f t="shared" ca="1" si="41"/>
        <v>#NAME?</v>
      </c>
      <c r="AA121" s="50" t="e">
        <f t="shared" ca="1" si="41"/>
        <v>#NAME?</v>
      </c>
      <c r="AH121" s="15" t="e">
        <f>GEOMEAN(AH99:AH114)</f>
        <v>#NUM!</v>
      </c>
      <c r="AI121" s="15" t="e">
        <f>GEOMEAN(AI99:AI114)</f>
        <v>#NUM!</v>
      </c>
      <c r="AJ121" s="15" t="e">
        <f t="shared" ref="AJ121:AK121" si="42">GEOMEAN(AJ99:AJ114)</f>
        <v>#DIV/0!</v>
      </c>
      <c r="AK121" s="15" t="e">
        <f t="shared" si="42"/>
        <v>#DIV/0!</v>
      </c>
      <c r="AM121" s="45" t="e">
        <f ca="1">AVERAGE(AM99:AM114)</f>
        <v>#NAME?</v>
      </c>
      <c r="AN121" s="49" t="e">
        <f t="shared" ref="AN121:AR121" ca="1" si="43">AVERAGE(AN99:AN114)</f>
        <v>#NAME?</v>
      </c>
      <c r="AO121" s="49" t="e">
        <f t="shared" ca="1" si="43"/>
        <v>#NAME?</v>
      </c>
      <c r="AP121" s="45" t="e">
        <f t="shared" ca="1" si="43"/>
        <v>#NAME?</v>
      </c>
      <c r="AQ121" s="49" t="e">
        <f t="shared" ca="1" si="43"/>
        <v>#NAME?</v>
      </c>
      <c r="AR121" s="50" t="e">
        <f t="shared" ca="1" si="43"/>
        <v>#NAME?</v>
      </c>
    </row>
    <row r="122" spans="1:44" ht="12.75" thickBot="1">
      <c r="A122" s="3"/>
      <c r="B122" s="4" t="s">
        <v>10</v>
      </c>
      <c r="C122" s="4"/>
      <c r="D122" s="4"/>
      <c r="E122" s="4"/>
      <c r="F122" s="4"/>
      <c r="G122" s="4"/>
      <c r="H122" s="4"/>
      <c r="I122" s="62">
        <f>GEOMEAN(I3:I98)</f>
        <v>93.143247098754259</v>
      </c>
      <c r="J122" s="62" t="e">
        <f>GEOMEAN(J3:J98)</f>
        <v>#NUM!</v>
      </c>
      <c r="K122" s="4"/>
      <c r="L122" s="4"/>
      <c r="M122" s="4"/>
      <c r="N122" s="4"/>
      <c r="O122" s="4"/>
      <c r="P122" s="4"/>
      <c r="Q122" s="62" t="e">
        <f>GEOMEAN(Q3:Q98)</f>
        <v>#NUM!</v>
      </c>
      <c r="R122" s="62" t="e">
        <f>GEOMEAN(R3:R98)</f>
        <v>#NUM!</v>
      </c>
      <c r="S122" s="62" t="e">
        <f t="shared" ref="S122:T122" si="44">GEOMEAN(S3:S98)</f>
        <v>#DIV/0!</v>
      </c>
      <c r="T122" s="62" t="e">
        <f t="shared" si="44"/>
        <v>#DIV/0!</v>
      </c>
      <c r="U122" s="4"/>
      <c r="V122" s="46" t="e">
        <f ca="1">AVERAGE(V3:V98)</f>
        <v>#NAME?</v>
      </c>
      <c r="W122" s="51" t="e">
        <f t="shared" ref="W122:AA122" ca="1" si="45">AVERAGE(W3:W98)</f>
        <v>#NAME?</v>
      </c>
      <c r="X122" s="51" t="e">
        <f t="shared" ca="1" si="45"/>
        <v>#NAME?</v>
      </c>
      <c r="Y122" s="46" t="e">
        <f t="shared" ca="1" si="45"/>
        <v>#NAME?</v>
      </c>
      <c r="Z122" s="51" t="e">
        <f t="shared" ca="1" si="45"/>
        <v>#NAME?</v>
      </c>
      <c r="AA122" s="52" t="e">
        <f t="shared" ca="1" si="45"/>
        <v>#NAME?</v>
      </c>
      <c r="AC122" s="4"/>
      <c r="AD122" s="4"/>
      <c r="AE122" s="4"/>
      <c r="AF122" s="4"/>
      <c r="AG122" s="4"/>
      <c r="AH122" s="62" t="e">
        <f>GEOMEAN(AH3:AH98)</f>
        <v>#NUM!</v>
      </c>
      <c r="AI122" s="62" t="e">
        <f>GEOMEAN(AI3:AI98)</f>
        <v>#NUM!</v>
      </c>
      <c r="AJ122" s="62" t="e">
        <f t="shared" ref="AJ122:AK122" si="46">GEOMEAN(AJ3:AJ98)</f>
        <v>#DIV/0!</v>
      </c>
      <c r="AK122" s="62" t="e">
        <f t="shared" si="46"/>
        <v>#DIV/0!</v>
      </c>
      <c r="AM122" s="46" t="e">
        <f ca="1">AVERAGE(AM3:AM98)</f>
        <v>#NAME?</v>
      </c>
      <c r="AN122" s="51" t="e">
        <f t="shared" ref="AN122:AR122" ca="1" si="47">AVERAGE(AN3:AN98)</f>
        <v>#NAME?</v>
      </c>
      <c r="AO122" s="51" t="e">
        <f t="shared" ca="1" si="47"/>
        <v>#NAME?</v>
      </c>
      <c r="AP122" s="46" t="e">
        <f t="shared" ca="1" si="47"/>
        <v>#NAME?</v>
      </c>
      <c r="AQ122" s="51" t="e">
        <f t="shared" ca="1" si="47"/>
        <v>#NAME?</v>
      </c>
      <c r="AR122" s="52" t="e">
        <f t="shared" ca="1" si="47"/>
        <v>#NAME?</v>
      </c>
    </row>
    <row r="123" spans="1:44">
      <c r="B123" s="1" t="s">
        <v>11</v>
      </c>
      <c r="I123" s="27">
        <f>GEOMEAN(I3:I114)</f>
        <v>82.933868760273683</v>
      </c>
      <c r="J123" s="27" t="e">
        <f>GEOMEAN(J3:J114)</f>
        <v>#NUM!</v>
      </c>
      <c r="Q123" s="27" t="e">
        <f>GEOMEAN(Q3:Q114)</f>
        <v>#NUM!</v>
      </c>
      <c r="R123" s="27" t="e">
        <f>GEOMEAN(R3:R114)</f>
        <v>#NUM!</v>
      </c>
      <c r="S123" s="27"/>
      <c r="T123" s="27"/>
      <c r="AH123" s="27" t="e">
        <f>GEOMEAN(AH3:AH114)</f>
        <v>#NUM!</v>
      </c>
      <c r="AI123" s="27" t="e">
        <f>GEOMEAN(AI3:AI114)</f>
        <v>#NUM!</v>
      </c>
      <c r="AJ123" s="27"/>
      <c r="AK123" s="27"/>
    </row>
    <row r="124" spans="1:44">
      <c r="B124" s="1" t="s">
        <v>12</v>
      </c>
      <c r="Q124" s="28" t="e">
        <f>Q123/I123</f>
        <v>#NUM!</v>
      </c>
      <c r="R124" s="28" t="e">
        <f>R123/J123</f>
        <v>#NUM!</v>
      </c>
      <c r="S124" s="28"/>
      <c r="T124" s="28"/>
      <c r="AJ124" s="28"/>
      <c r="AK124" s="28"/>
    </row>
    <row r="125" spans="1:44">
      <c r="B125" s="1" t="s">
        <v>13</v>
      </c>
      <c r="I125" s="27"/>
      <c r="J125" s="27"/>
      <c r="Q125" s="27"/>
      <c r="R125" s="27"/>
      <c r="S125" s="27"/>
      <c r="T125" s="27"/>
      <c r="AH125" s="27">
        <f>SUM(AH3:AH114)/3600</f>
        <v>0</v>
      </c>
      <c r="AI125" s="27">
        <f>SUM(AI3:AI114)</f>
        <v>0</v>
      </c>
      <c r="AJ125" s="27"/>
      <c r="AK125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phoneticPr fontId="6" type="noConversion"/>
  <conditionalFormatting sqref="AA7">
    <cfRule type="cellIs" dxfId="545" priority="533" operator="greaterThan">
      <formula>0.03</formula>
    </cfRule>
    <cfRule type="cellIs" dxfId="544" priority="534" stopIfTrue="1" operator="lessThan">
      <formula>-0.03</formula>
    </cfRule>
  </conditionalFormatting>
  <conditionalFormatting sqref="AM7:AO10">
    <cfRule type="cellIs" dxfId="543" priority="501" operator="greaterThan">
      <formula>0.03</formula>
    </cfRule>
    <cfRule type="cellIs" dxfId="542" priority="502" stopIfTrue="1" operator="lessThan">
      <formula>-0.03</formula>
    </cfRule>
  </conditionalFormatting>
  <conditionalFormatting sqref="Z11">
    <cfRule type="cellIs" dxfId="541" priority="529" operator="greaterThan">
      <formula>0.03</formula>
    </cfRule>
    <cfRule type="cellIs" dxfId="540" priority="530" stopIfTrue="1" operator="lessThan">
      <formula>-0.03</formula>
    </cfRule>
  </conditionalFormatting>
  <conditionalFormatting sqref="AQ7">
    <cfRule type="cellIs" dxfId="539" priority="497" operator="greaterThan">
      <formula>0.03</formula>
    </cfRule>
    <cfRule type="cellIs" dxfId="538" priority="498" stopIfTrue="1" operator="lessThan">
      <formula>-0.03</formula>
    </cfRule>
  </conditionalFormatting>
  <conditionalFormatting sqref="AR7">
    <cfRule type="cellIs" dxfId="537" priority="495" operator="greaterThan">
      <formula>0.03</formula>
    </cfRule>
    <cfRule type="cellIs" dxfId="536" priority="496" stopIfTrue="1" operator="lessThan">
      <formula>-0.03</formula>
    </cfRule>
  </conditionalFormatting>
  <conditionalFormatting sqref="AP10:AQ10">
    <cfRule type="cellIs" dxfId="535" priority="493" operator="greaterThan">
      <formula>0.03</formula>
    </cfRule>
    <cfRule type="cellIs" dxfId="534" priority="494" stopIfTrue="1" operator="lessThan">
      <formula>-0.03</formula>
    </cfRule>
  </conditionalFormatting>
  <conditionalFormatting sqref="AM3:AO6">
    <cfRule type="cellIs" dxfId="533" priority="511" operator="greaterThan">
      <formula>0.03</formula>
    </cfRule>
    <cfRule type="cellIs" dxfId="532" priority="512" stopIfTrue="1" operator="lessThan">
      <formula>-0.03</formula>
    </cfRule>
  </conditionalFormatting>
  <conditionalFormatting sqref="Y6:Z6">
    <cfRule type="cellIs" dxfId="531" priority="519" operator="greaterThan">
      <formula>0.03</formula>
    </cfRule>
    <cfRule type="cellIs" dxfId="530" priority="520" stopIfTrue="1" operator="lessThan">
      <formula>-0.03</formula>
    </cfRule>
  </conditionalFormatting>
  <conditionalFormatting sqref="Y14:Z14">
    <cfRule type="cellIs" dxfId="529" priority="515" operator="greaterThan">
      <formula>0.03</formula>
    </cfRule>
    <cfRule type="cellIs" dxfId="528" priority="516" stopIfTrue="1" operator="lessThan">
      <formula>-0.03</formula>
    </cfRule>
  </conditionalFormatting>
  <conditionalFormatting sqref="Y18:Z18">
    <cfRule type="cellIs" dxfId="527" priority="513" operator="greaterThan">
      <formula>0.03</formula>
    </cfRule>
    <cfRule type="cellIs" dxfId="526" priority="514" stopIfTrue="1" operator="lessThan">
      <formula>-0.03</formula>
    </cfRule>
  </conditionalFormatting>
  <conditionalFormatting sqref="AP3">
    <cfRule type="cellIs" dxfId="525" priority="509" operator="greaterThan">
      <formula>0.03</formula>
    </cfRule>
    <cfRule type="cellIs" dxfId="524" priority="510" stopIfTrue="1" operator="lessThan">
      <formula>-0.03</formula>
    </cfRule>
  </conditionalFormatting>
  <conditionalFormatting sqref="AP6:AQ6">
    <cfRule type="cellIs" dxfId="523" priority="503" operator="greaterThan">
      <formula>0.03</formula>
    </cfRule>
    <cfRule type="cellIs" dxfId="522" priority="504" stopIfTrue="1" operator="lessThan">
      <formula>-0.03</formula>
    </cfRule>
  </conditionalFormatting>
  <conditionalFormatting sqref="AP7">
    <cfRule type="cellIs" dxfId="521" priority="499" operator="greaterThan">
      <formula>0.03</formula>
    </cfRule>
    <cfRule type="cellIs" dxfId="520" priority="500" stopIfTrue="1" operator="lessThan">
      <formula>-0.03</formula>
    </cfRule>
  </conditionalFormatting>
  <conditionalFormatting sqref="AP18:AQ18">
    <cfRule type="cellIs" dxfId="519" priority="473" operator="greaterThan">
      <formula>0.03</formula>
    </cfRule>
    <cfRule type="cellIs" dxfId="518" priority="474" stopIfTrue="1" operator="lessThan">
      <formula>-0.03</formula>
    </cfRule>
  </conditionalFormatting>
  <conditionalFormatting sqref="V122:AA122">
    <cfRule type="cellIs" dxfId="517" priority="471" operator="greaterThan">
      <formula>0.03</formula>
    </cfRule>
    <cfRule type="cellIs" dxfId="516" priority="472" stopIfTrue="1" operator="lessThan">
      <formula>-0.03</formula>
    </cfRule>
  </conditionalFormatting>
  <conditionalFormatting sqref="Y27">
    <cfRule type="cellIs" dxfId="515" priority="433" operator="greaterThan">
      <formula>0.03</formula>
    </cfRule>
    <cfRule type="cellIs" dxfId="514" priority="434" stopIfTrue="1" operator="lessThan">
      <formula>-0.03</formula>
    </cfRule>
  </conditionalFormatting>
  <conditionalFormatting sqref="AR3">
    <cfRule type="cellIs" dxfId="513" priority="505" operator="greaterThan">
      <formula>0.03</formula>
    </cfRule>
    <cfRule type="cellIs" dxfId="512" priority="506" stopIfTrue="1" operator="lessThan">
      <formula>-0.03</formula>
    </cfRule>
  </conditionalFormatting>
  <conditionalFormatting sqref="AQ19">
    <cfRule type="cellIs" dxfId="511" priority="409" operator="greaterThan">
      <formula>0.03</formula>
    </cfRule>
    <cfRule type="cellIs" dxfId="510" priority="410" stopIfTrue="1" operator="lessThan">
      <formula>-0.03</formula>
    </cfRule>
  </conditionalFormatting>
  <conditionalFormatting sqref="AP22:AQ22">
    <cfRule type="cellIs" dxfId="509" priority="405" operator="greaterThan">
      <formula>0.03</formula>
    </cfRule>
    <cfRule type="cellIs" dxfId="508" priority="406" stopIfTrue="1" operator="lessThan">
      <formula>-0.03</formula>
    </cfRule>
  </conditionalFormatting>
  <conditionalFormatting sqref="AP23">
    <cfRule type="cellIs" dxfId="507" priority="401" operator="greaterThan">
      <formula>0.03</formula>
    </cfRule>
    <cfRule type="cellIs" dxfId="506" priority="402" stopIfTrue="1" operator="lessThan">
      <formula>-0.03</formula>
    </cfRule>
  </conditionalFormatting>
  <conditionalFormatting sqref="AM23:AO26">
    <cfRule type="cellIs" dxfId="505" priority="403" operator="greaterThan">
      <formula>0.03</formula>
    </cfRule>
    <cfRule type="cellIs" dxfId="504" priority="404" stopIfTrue="1" operator="lessThan">
      <formula>-0.03</formula>
    </cfRule>
  </conditionalFormatting>
  <conditionalFormatting sqref="Z31">
    <cfRule type="cellIs" dxfId="503" priority="425" operator="greaterThan">
      <formula>0.03</formula>
    </cfRule>
    <cfRule type="cellIs" dxfId="502" priority="426" stopIfTrue="1" operator="lessThan">
      <formula>-0.03</formula>
    </cfRule>
  </conditionalFormatting>
  <conditionalFormatting sqref="Z23">
    <cfRule type="cellIs" dxfId="501" priority="437" operator="greaterThan">
      <formula>0.03</formula>
    </cfRule>
    <cfRule type="cellIs" dxfId="500" priority="438" stopIfTrue="1" operator="lessThan">
      <formula>-0.03</formula>
    </cfRule>
  </conditionalFormatting>
  <conditionalFormatting sqref="AA23">
    <cfRule type="cellIs" dxfId="499" priority="435" operator="greaterThan">
      <formula>0.03</formula>
    </cfRule>
    <cfRule type="cellIs" dxfId="498" priority="436" stopIfTrue="1" operator="lessThan">
      <formula>-0.03</formula>
    </cfRule>
  </conditionalFormatting>
  <conditionalFormatting sqref="AP38:AQ38">
    <cfRule type="cellIs" dxfId="497" priority="355" operator="greaterThan">
      <formula>0.03</formula>
    </cfRule>
    <cfRule type="cellIs" dxfId="496" priority="356" stopIfTrue="1" operator="lessThan">
      <formula>-0.03</formula>
    </cfRule>
  </conditionalFormatting>
  <conditionalFormatting sqref="AM119:AR120">
    <cfRule type="cellIs" dxfId="495" priority="457" operator="greaterThan">
      <formula>0.03</formula>
    </cfRule>
    <cfRule type="cellIs" dxfId="494" priority="458" stopIfTrue="1" operator="lessThan">
      <formula>-0.03</formula>
    </cfRule>
  </conditionalFormatting>
  <conditionalFormatting sqref="Z43">
    <cfRule type="cellIs" dxfId="493" priority="343" operator="greaterThan">
      <formula>0.03</formula>
    </cfRule>
    <cfRule type="cellIs" dxfId="492" priority="344" stopIfTrue="1" operator="lessThan">
      <formula>-0.03</formula>
    </cfRule>
  </conditionalFormatting>
  <conditionalFormatting sqref="Y39">
    <cfRule type="cellIs" dxfId="491" priority="351" operator="greaterThan">
      <formula>0.03</formula>
    </cfRule>
    <cfRule type="cellIs" dxfId="490" priority="352" stopIfTrue="1" operator="lessThan">
      <formula>-0.03</formula>
    </cfRule>
  </conditionalFormatting>
  <conditionalFormatting sqref="AQ35">
    <cfRule type="cellIs" dxfId="489" priority="359" operator="greaterThan">
      <formula>0.03</formula>
    </cfRule>
    <cfRule type="cellIs" dxfId="488" priority="360" stopIfTrue="1" operator="lessThan">
      <formula>-0.03</formula>
    </cfRule>
  </conditionalFormatting>
  <conditionalFormatting sqref="AA35">
    <cfRule type="cellIs" dxfId="487" priority="367" operator="greaterThan">
      <formula>0.03</formula>
    </cfRule>
    <cfRule type="cellIs" dxfId="486" priority="368" stopIfTrue="1" operator="lessThan">
      <formula>-0.03</formula>
    </cfRule>
  </conditionalFormatting>
  <conditionalFormatting sqref="AQ39">
    <cfRule type="cellIs" dxfId="485" priority="331" operator="greaterThan">
      <formula>0.03</formula>
    </cfRule>
    <cfRule type="cellIs" dxfId="484" priority="332" stopIfTrue="1" operator="lessThan">
      <formula>-0.03</formula>
    </cfRule>
  </conditionalFormatting>
  <conditionalFormatting sqref="Y38:Z38">
    <cfRule type="cellIs" dxfId="483" priority="365" operator="greaterThan">
      <formula>0.03</formula>
    </cfRule>
    <cfRule type="cellIs" dxfId="482" priority="366" stopIfTrue="1" operator="lessThan">
      <formula>-0.03</formula>
    </cfRule>
  </conditionalFormatting>
  <conditionalFormatting sqref="AM35:AO38">
    <cfRule type="cellIs" dxfId="481" priority="363" operator="greaterThan">
      <formula>0.03</formula>
    </cfRule>
    <cfRule type="cellIs" dxfId="480" priority="364" stopIfTrue="1" operator="lessThan">
      <formula>-0.03</formula>
    </cfRule>
  </conditionalFormatting>
  <conditionalFormatting sqref="AP35">
    <cfRule type="cellIs" dxfId="479" priority="361" operator="greaterThan">
      <formula>0.03</formula>
    </cfRule>
    <cfRule type="cellIs" dxfId="478" priority="362" stopIfTrue="1" operator="lessThan">
      <formula>-0.03</formula>
    </cfRule>
  </conditionalFormatting>
  <conditionalFormatting sqref="AA43">
    <cfRule type="cellIs" dxfId="477" priority="341" operator="greaterThan">
      <formula>0.03</formula>
    </cfRule>
    <cfRule type="cellIs" dxfId="476" priority="342" stopIfTrue="1" operator="lessThan">
      <formula>-0.03</formula>
    </cfRule>
  </conditionalFormatting>
  <conditionalFormatting sqref="Y42:Z42">
    <cfRule type="cellIs" dxfId="475" priority="339" operator="greaterThan">
      <formula>0.03</formula>
    </cfRule>
    <cfRule type="cellIs" dxfId="474" priority="340" stopIfTrue="1" operator="lessThan">
      <formula>-0.03</formula>
    </cfRule>
  </conditionalFormatting>
  <conditionalFormatting sqref="Y46:Z46">
    <cfRule type="cellIs" dxfId="473" priority="337" operator="greaterThan">
      <formula>0.03</formula>
    </cfRule>
    <cfRule type="cellIs" dxfId="472" priority="338" stopIfTrue="1" operator="lessThan">
      <formula>-0.03</formula>
    </cfRule>
  </conditionalFormatting>
  <conditionalFormatting sqref="AR35">
    <cfRule type="cellIs" dxfId="471" priority="357" operator="greaterThan">
      <formula>0.03</formula>
    </cfRule>
    <cfRule type="cellIs" dxfId="470" priority="358" stopIfTrue="1" operator="lessThan">
      <formula>-0.03</formula>
    </cfRule>
  </conditionalFormatting>
  <conditionalFormatting sqref="V39:X46">
    <cfRule type="cellIs" dxfId="469" priority="353" operator="greaterThan">
      <formula>0.03</formula>
    </cfRule>
    <cfRule type="cellIs" dxfId="468" priority="354" stopIfTrue="1" operator="lessThan">
      <formula>-0.03</formula>
    </cfRule>
  </conditionalFormatting>
  <conditionalFormatting sqref="Z39">
    <cfRule type="cellIs" dxfId="467" priority="349" operator="greaterThan">
      <formula>0.03</formula>
    </cfRule>
    <cfRule type="cellIs" dxfId="466" priority="350" stopIfTrue="1" operator="lessThan">
      <formula>-0.03</formula>
    </cfRule>
  </conditionalFormatting>
  <conditionalFormatting sqref="AA39">
    <cfRule type="cellIs" dxfId="465" priority="347" operator="greaterThan">
      <formula>0.03</formula>
    </cfRule>
    <cfRule type="cellIs" dxfId="464" priority="348" stopIfTrue="1" operator="lessThan">
      <formula>-0.03</formula>
    </cfRule>
  </conditionalFormatting>
  <conditionalFormatting sqref="Y43">
    <cfRule type="cellIs" dxfId="463" priority="345" operator="greaterThan">
      <formula>0.03</formula>
    </cfRule>
    <cfRule type="cellIs" dxfId="462" priority="346" stopIfTrue="1" operator="lessThan">
      <formula>-0.03</formula>
    </cfRule>
  </conditionalFormatting>
  <conditionalFormatting sqref="AM39:AO42">
    <cfRule type="cellIs" dxfId="461" priority="335" operator="greaterThan">
      <formula>0.03</formula>
    </cfRule>
    <cfRule type="cellIs" dxfId="460" priority="336" stopIfTrue="1" operator="lessThan">
      <formula>-0.03</formula>
    </cfRule>
  </conditionalFormatting>
  <conditionalFormatting sqref="AP39">
    <cfRule type="cellIs" dxfId="459" priority="333" operator="greaterThan">
      <formula>0.03</formula>
    </cfRule>
    <cfRule type="cellIs" dxfId="458" priority="334" stopIfTrue="1" operator="lessThan">
      <formula>-0.03</formula>
    </cfRule>
  </conditionalFormatting>
  <conditionalFormatting sqref="AR39">
    <cfRule type="cellIs" dxfId="457" priority="329" operator="greaterThan">
      <formula>0.03</formula>
    </cfRule>
    <cfRule type="cellIs" dxfId="456" priority="330" stopIfTrue="1" operator="lessThan">
      <formula>-0.03</formula>
    </cfRule>
  </conditionalFormatting>
  <conditionalFormatting sqref="AP42:AQ42">
    <cfRule type="cellIs" dxfId="455" priority="327" operator="greaterThan">
      <formula>0.03</formula>
    </cfRule>
    <cfRule type="cellIs" dxfId="454" priority="328" stopIfTrue="1" operator="lessThan">
      <formula>-0.03</formula>
    </cfRule>
  </conditionalFormatting>
  <conditionalFormatting sqref="AM43:AO46">
    <cfRule type="cellIs" dxfId="453" priority="325" operator="greaterThan">
      <formula>0.03</formula>
    </cfRule>
    <cfRule type="cellIs" dxfId="452" priority="326" stopIfTrue="1" operator="lessThan">
      <formula>-0.03</formula>
    </cfRule>
  </conditionalFormatting>
  <conditionalFormatting sqref="AP43">
    <cfRule type="cellIs" dxfId="451" priority="323" operator="greaterThan">
      <formula>0.03</formula>
    </cfRule>
    <cfRule type="cellIs" dxfId="450" priority="324" stopIfTrue="1" operator="lessThan">
      <formula>-0.03</formula>
    </cfRule>
  </conditionalFormatting>
  <conditionalFormatting sqref="AQ43">
    <cfRule type="cellIs" dxfId="449" priority="321" operator="greaterThan">
      <formula>0.03</formula>
    </cfRule>
    <cfRule type="cellIs" dxfId="448" priority="322" stopIfTrue="1" operator="lessThan">
      <formula>-0.03</formula>
    </cfRule>
  </conditionalFormatting>
  <conditionalFormatting sqref="AR43">
    <cfRule type="cellIs" dxfId="447" priority="319" operator="greaterThan">
      <formula>0.03</formula>
    </cfRule>
    <cfRule type="cellIs" dxfId="446" priority="320" stopIfTrue="1" operator="lessThan">
      <formula>-0.03</formula>
    </cfRule>
  </conditionalFormatting>
  <conditionalFormatting sqref="AP46:AQ46">
    <cfRule type="cellIs" dxfId="445" priority="317" operator="greaterThan">
      <formula>0.03</formula>
    </cfRule>
    <cfRule type="cellIs" dxfId="444" priority="318" stopIfTrue="1" operator="lessThan">
      <formula>-0.03</formula>
    </cfRule>
  </conditionalFormatting>
  <conditionalFormatting sqref="V47:X54">
    <cfRule type="cellIs" dxfId="443" priority="315" operator="greaterThan">
      <formula>0.03</formula>
    </cfRule>
    <cfRule type="cellIs" dxfId="442" priority="316" stopIfTrue="1" operator="lessThan">
      <formula>-0.03</formula>
    </cfRule>
  </conditionalFormatting>
  <conditionalFormatting sqref="Y47">
    <cfRule type="cellIs" dxfId="441" priority="313" operator="greaterThan">
      <formula>0.03</formula>
    </cfRule>
    <cfRule type="cellIs" dxfId="440" priority="314" stopIfTrue="1" operator="lessThan">
      <formula>-0.03</formula>
    </cfRule>
  </conditionalFormatting>
  <conditionalFormatting sqref="Z47">
    <cfRule type="cellIs" dxfId="439" priority="311" operator="greaterThan">
      <formula>0.03</formula>
    </cfRule>
    <cfRule type="cellIs" dxfId="438" priority="312" stopIfTrue="1" operator="lessThan">
      <formula>-0.03</formula>
    </cfRule>
  </conditionalFormatting>
  <conditionalFormatting sqref="AA47">
    <cfRule type="cellIs" dxfId="437" priority="309" operator="greaterThan">
      <formula>0.03</formula>
    </cfRule>
    <cfRule type="cellIs" dxfId="436" priority="310" stopIfTrue="1" operator="lessThan">
      <formula>-0.03</formula>
    </cfRule>
  </conditionalFormatting>
  <conditionalFormatting sqref="Y51">
    <cfRule type="cellIs" dxfId="435" priority="307" operator="greaterThan">
      <formula>0.03</formula>
    </cfRule>
    <cfRule type="cellIs" dxfId="434" priority="308" stopIfTrue="1" operator="lessThan">
      <formula>-0.03</formula>
    </cfRule>
  </conditionalFormatting>
  <conditionalFormatting sqref="Z51">
    <cfRule type="cellIs" dxfId="433" priority="305" operator="greaterThan">
      <formula>0.03</formula>
    </cfRule>
    <cfRule type="cellIs" dxfId="432" priority="306" stopIfTrue="1" operator="lessThan">
      <formula>-0.03</formula>
    </cfRule>
  </conditionalFormatting>
  <conditionalFormatting sqref="AA51">
    <cfRule type="cellIs" dxfId="431" priority="303" operator="greaterThan">
      <formula>0.03</formula>
    </cfRule>
    <cfRule type="cellIs" dxfId="430" priority="304" stopIfTrue="1" operator="lessThan">
      <formula>-0.03</formula>
    </cfRule>
  </conditionalFormatting>
  <conditionalFormatting sqref="Y50:Z50">
    <cfRule type="cellIs" dxfId="429" priority="301" operator="greaterThan">
      <formula>0.03</formula>
    </cfRule>
    <cfRule type="cellIs" dxfId="428" priority="302" stopIfTrue="1" operator="lessThan">
      <formula>-0.03</formula>
    </cfRule>
  </conditionalFormatting>
  <conditionalFormatting sqref="Y54:Z54">
    <cfRule type="cellIs" dxfId="427" priority="299" operator="greaterThan">
      <formula>0.03</formula>
    </cfRule>
    <cfRule type="cellIs" dxfId="426" priority="300" stopIfTrue="1" operator="lessThan">
      <formula>-0.03</formula>
    </cfRule>
  </conditionalFormatting>
  <conditionalFormatting sqref="AM47:AO50">
    <cfRule type="cellIs" dxfId="425" priority="297" operator="greaterThan">
      <formula>0.03</formula>
    </cfRule>
    <cfRule type="cellIs" dxfId="424" priority="298" stopIfTrue="1" operator="lessThan">
      <formula>-0.03</formula>
    </cfRule>
  </conditionalFormatting>
  <conditionalFormatting sqref="AP47">
    <cfRule type="cellIs" dxfId="423" priority="295" operator="greaterThan">
      <formula>0.03</formula>
    </cfRule>
    <cfRule type="cellIs" dxfId="422" priority="296" stopIfTrue="1" operator="lessThan">
      <formula>-0.03</formula>
    </cfRule>
  </conditionalFormatting>
  <conditionalFormatting sqref="AQ47">
    <cfRule type="cellIs" dxfId="421" priority="293" operator="greaterThan">
      <formula>0.03</formula>
    </cfRule>
    <cfRule type="cellIs" dxfId="420" priority="294" stopIfTrue="1" operator="lessThan">
      <formula>-0.03</formula>
    </cfRule>
  </conditionalFormatting>
  <conditionalFormatting sqref="AR47">
    <cfRule type="cellIs" dxfId="419" priority="291" operator="greaterThan">
      <formula>0.03</formula>
    </cfRule>
    <cfRule type="cellIs" dxfId="418" priority="292" stopIfTrue="1" operator="lessThan">
      <formula>-0.03</formula>
    </cfRule>
  </conditionalFormatting>
  <conditionalFormatting sqref="AP50:AQ50">
    <cfRule type="cellIs" dxfId="417" priority="289" operator="greaterThan">
      <formula>0.03</formula>
    </cfRule>
    <cfRule type="cellIs" dxfId="416" priority="290" stopIfTrue="1" operator="lessThan">
      <formula>-0.03</formula>
    </cfRule>
  </conditionalFormatting>
  <conditionalFormatting sqref="AM51:AO54">
    <cfRule type="cellIs" dxfId="415" priority="287" operator="greaterThan">
      <formula>0.03</formula>
    </cfRule>
    <cfRule type="cellIs" dxfId="414" priority="288" stopIfTrue="1" operator="lessThan">
      <formula>-0.03</formula>
    </cfRule>
  </conditionalFormatting>
  <conditionalFormatting sqref="AP51">
    <cfRule type="cellIs" dxfId="413" priority="285" operator="greaterThan">
      <formula>0.03</formula>
    </cfRule>
    <cfRule type="cellIs" dxfId="412" priority="286" stopIfTrue="1" operator="lessThan">
      <formula>-0.03</formula>
    </cfRule>
  </conditionalFormatting>
  <conditionalFormatting sqref="AQ51">
    <cfRule type="cellIs" dxfId="411" priority="283" operator="greaterThan">
      <formula>0.03</formula>
    </cfRule>
    <cfRule type="cellIs" dxfId="410" priority="284" stopIfTrue="1" operator="lessThan">
      <formula>-0.03</formula>
    </cfRule>
  </conditionalFormatting>
  <conditionalFormatting sqref="AR51">
    <cfRule type="cellIs" dxfId="409" priority="281" operator="greaterThan">
      <formula>0.03</formula>
    </cfRule>
    <cfRule type="cellIs" dxfId="408" priority="282" stopIfTrue="1" operator="lessThan">
      <formula>-0.03</formula>
    </cfRule>
  </conditionalFormatting>
  <conditionalFormatting sqref="AP54:AQ54">
    <cfRule type="cellIs" dxfId="407" priority="279" operator="greaterThan">
      <formula>0.03</formula>
    </cfRule>
    <cfRule type="cellIs" dxfId="406" priority="280" stopIfTrue="1" operator="lessThan">
      <formula>-0.03</formula>
    </cfRule>
  </conditionalFormatting>
  <conditionalFormatting sqref="V55:X70">
    <cfRule type="cellIs" dxfId="405" priority="277" operator="greaterThan">
      <formula>0.03</formula>
    </cfRule>
    <cfRule type="cellIs" dxfId="404" priority="278" stopIfTrue="1" operator="lessThan">
      <formula>-0.03</formula>
    </cfRule>
  </conditionalFormatting>
  <conditionalFormatting sqref="Y55">
    <cfRule type="cellIs" dxfId="403" priority="275" operator="greaterThan">
      <formula>0.03</formula>
    </cfRule>
    <cfRule type="cellIs" dxfId="402" priority="276" stopIfTrue="1" operator="lessThan">
      <formula>-0.03</formula>
    </cfRule>
  </conditionalFormatting>
  <conditionalFormatting sqref="Z55">
    <cfRule type="cellIs" dxfId="401" priority="273" operator="greaterThan">
      <formula>0.03</formula>
    </cfRule>
    <cfRule type="cellIs" dxfId="400" priority="274" stopIfTrue="1" operator="lessThan">
      <formula>-0.03</formula>
    </cfRule>
  </conditionalFormatting>
  <conditionalFormatting sqref="AA55">
    <cfRule type="cellIs" dxfId="399" priority="271" operator="greaterThan">
      <formula>0.03</formula>
    </cfRule>
    <cfRule type="cellIs" dxfId="398" priority="272" stopIfTrue="1" operator="lessThan">
      <formula>-0.03</formula>
    </cfRule>
  </conditionalFormatting>
  <conditionalFormatting sqref="Y59">
    <cfRule type="cellIs" dxfId="397" priority="269" operator="greaterThan">
      <formula>0.03</formula>
    </cfRule>
    <cfRule type="cellIs" dxfId="396" priority="270" stopIfTrue="1" operator="lessThan">
      <formula>-0.03</formula>
    </cfRule>
  </conditionalFormatting>
  <conditionalFormatting sqref="Z59">
    <cfRule type="cellIs" dxfId="395" priority="267" operator="greaterThan">
      <formula>0.03</formula>
    </cfRule>
    <cfRule type="cellIs" dxfId="394" priority="268" stopIfTrue="1" operator="lessThan">
      <formula>-0.03</formula>
    </cfRule>
  </conditionalFormatting>
  <conditionalFormatting sqref="AA59">
    <cfRule type="cellIs" dxfId="393" priority="265" operator="greaterThan">
      <formula>0.03</formula>
    </cfRule>
    <cfRule type="cellIs" dxfId="392" priority="266" stopIfTrue="1" operator="lessThan">
      <formula>-0.03</formula>
    </cfRule>
  </conditionalFormatting>
  <conditionalFormatting sqref="Y63">
    <cfRule type="cellIs" dxfId="391" priority="263" operator="greaterThan">
      <formula>0.03</formula>
    </cfRule>
    <cfRule type="cellIs" dxfId="390" priority="264" stopIfTrue="1" operator="lessThan">
      <formula>-0.03</formula>
    </cfRule>
  </conditionalFormatting>
  <conditionalFormatting sqref="Z63">
    <cfRule type="cellIs" dxfId="389" priority="261" operator="greaterThan">
      <formula>0.03</formula>
    </cfRule>
    <cfRule type="cellIs" dxfId="388" priority="262" stopIfTrue="1" operator="lessThan">
      <formula>-0.03</formula>
    </cfRule>
  </conditionalFormatting>
  <conditionalFormatting sqref="AA63">
    <cfRule type="cellIs" dxfId="387" priority="259" operator="greaterThan">
      <formula>0.03</formula>
    </cfRule>
    <cfRule type="cellIs" dxfId="386" priority="260" stopIfTrue="1" operator="lessThan">
      <formula>-0.03</formula>
    </cfRule>
  </conditionalFormatting>
  <conditionalFormatting sqref="Y67">
    <cfRule type="cellIs" dxfId="385" priority="257" operator="greaterThan">
      <formula>0.03</formula>
    </cfRule>
    <cfRule type="cellIs" dxfId="384" priority="258" stopIfTrue="1" operator="lessThan">
      <formula>-0.03</formula>
    </cfRule>
  </conditionalFormatting>
  <conditionalFormatting sqref="Z67">
    <cfRule type="cellIs" dxfId="383" priority="255" operator="greaterThan">
      <formula>0.03</formula>
    </cfRule>
    <cfRule type="cellIs" dxfId="382" priority="256" stopIfTrue="1" operator="lessThan">
      <formula>-0.03</formula>
    </cfRule>
  </conditionalFormatting>
  <conditionalFormatting sqref="AA67">
    <cfRule type="cellIs" dxfId="381" priority="253" operator="greaterThan">
      <formula>0.03</formula>
    </cfRule>
    <cfRule type="cellIs" dxfId="380" priority="254" stopIfTrue="1" operator="lessThan">
      <formula>-0.03</formula>
    </cfRule>
  </conditionalFormatting>
  <conditionalFormatting sqref="Y58:Z58">
    <cfRule type="cellIs" dxfId="379" priority="251" operator="greaterThan">
      <formula>0.03</formula>
    </cfRule>
    <cfRule type="cellIs" dxfId="378" priority="252" stopIfTrue="1" operator="lessThan">
      <formula>-0.03</formula>
    </cfRule>
  </conditionalFormatting>
  <conditionalFormatting sqref="Y62:Z62">
    <cfRule type="cellIs" dxfId="377" priority="249" operator="greaterThan">
      <formula>0.03</formula>
    </cfRule>
    <cfRule type="cellIs" dxfId="376" priority="250" stopIfTrue="1" operator="lessThan">
      <formula>-0.03</formula>
    </cfRule>
  </conditionalFormatting>
  <conditionalFormatting sqref="Y66:Z66">
    <cfRule type="cellIs" dxfId="375" priority="247" operator="greaterThan">
      <formula>0.03</formula>
    </cfRule>
    <cfRule type="cellIs" dxfId="374" priority="248" stopIfTrue="1" operator="lessThan">
      <formula>-0.03</formula>
    </cfRule>
  </conditionalFormatting>
  <conditionalFormatting sqref="Y70:Z70">
    <cfRule type="cellIs" dxfId="373" priority="245" operator="greaterThan">
      <formula>0.03</formula>
    </cfRule>
    <cfRule type="cellIs" dxfId="372" priority="246" stopIfTrue="1" operator="lessThan">
      <formula>-0.03</formula>
    </cfRule>
  </conditionalFormatting>
  <conditionalFormatting sqref="AM55:AO58">
    <cfRule type="cellIs" dxfId="371" priority="243" operator="greaterThan">
      <formula>0.03</formula>
    </cfRule>
    <cfRule type="cellIs" dxfId="370" priority="244" stopIfTrue="1" operator="lessThan">
      <formula>-0.03</formula>
    </cfRule>
  </conditionalFormatting>
  <conditionalFormatting sqref="AP55">
    <cfRule type="cellIs" dxfId="369" priority="241" operator="greaterThan">
      <formula>0.03</formula>
    </cfRule>
    <cfRule type="cellIs" dxfId="368" priority="242" stopIfTrue="1" operator="lessThan">
      <formula>-0.03</formula>
    </cfRule>
  </conditionalFormatting>
  <conditionalFormatting sqref="AQ55">
    <cfRule type="cellIs" dxfId="367" priority="239" operator="greaterThan">
      <formula>0.03</formula>
    </cfRule>
    <cfRule type="cellIs" dxfId="366" priority="240" stopIfTrue="1" operator="lessThan">
      <formula>-0.03</formula>
    </cfRule>
  </conditionalFormatting>
  <conditionalFormatting sqref="AR55">
    <cfRule type="cellIs" dxfId="365" priority="237" operator="greaterThan">
      <formula>0.03</formula>
    </cfRule>
    <cfRule type="cellIs" dxfId="364" priority="238" stopIfTrue="1" operator="lessThan">
      <formula>-0.03</formula>
    </cfRule>
  </conditionalFormatting>
  <conditionalFormatting sqref="AP58:AQ58">
    <cfRule type="cellIs" dxfId="363" priority="235" operator="greaterThan">
      <formula>0.03</formula>
    </cfRule>
    <cfRule type="cellIs" dxfId="362" priority="236" stopIfTrue="1" operator="lessThan">
      <formula>-0.03</formula>
    </cfRule>
  </conditionalFormatting>
  <conditionalFormatting sqref="AM59:AO62">
    <cfRule type="cellIs" dxfId="361" priority="233" operator="greaterThan">
      <formula>0.03</formula>
    </cfRule>
    <cfRule type="cellIs" dxfId="360" priority="234" stopIfTrue="1" operator="lessThan">
      <formula>-0.03</formula>
    </cfRule>
  </conditionalFormatting>
  <conditionalFormatting sqref="AP59">
    <cfRule type="cellIs" dxfId="359" priority="231" operator="greaterThan">
      <formula>0.03</formula>
    </cfRule>
    <cfRule type="cellIs" dxfId="358" priority="232" stopIfTrue="1" operator="lessThan">
      <formula>-0.03</formula>
    </cfRule>
  </conditionalFormatting>
  <conditionalFormatting sqref="AQ59">
    <cfRule type="cellIs" dxfId="357" priority="229" operator="greaterThan">
      <formula>0.03</formula>
    </cfRule>
    <cfRule type="cellIs" dxfId="356" priority="230" stopIfTrue="1" operator="lessThan">
      <formula>-0.03</formula>
    </cfRule>
  </conditionalFormatting>
  <conditionalFormatting sqref="AR59">
    <cfRule type="cellIs" dxfId="355" priority="227" operator="greaterThan">
      <formula>0.03</formula>
    </cfRule>
    <cfRule type="cellIs" dxfId="354" priority="228" stopIfTrue="1" operator="lessThan">
      <formula>-0.03</formula>
    </cfRule>
  </conditionalFormatting>
  <conditionalFormatting sqref="AP62:AQ62">
    <cfRule type="cellIs" dxfId="353" priority="225" operator="greaterThan">
      <formula>0.03</formula>
    </cfRule>
    <cfRule type="cellIs" dxfId="352" priority="226" stopIfTrue="1" operator="lessThan">
      <formula>-0.03</formula>
    </cfRule>
  </conditionalFormatting>
  <conditionalFormatting sqref="AM63:AO66">
    <cfRule type="cellIs" dxfId="351" priority="223" operator="greaterThan">
      <formula>0.03</formula>
    </cfRule>
    <cfRule type="cellIs" dxfId="350" priority="224" stopIfTrue="1" operator="lessThan">
      <formula>-0.03</formula>
    </cfRule>
  </conditionalFormatting>
  <conditionalFormatting sqref="AP63">
    <cfRule type="cellIs" dxfId="349" priority="221" operator="greaterThan">
      <formula>0.03</formula>
    </cfRule>
    <cfRule type="cellIs" dxfId="348" priority="222" stopIfTrue="1" operator="lessThan">
      <formula>-0.03</formula>
    </cfRule>
  </conditionalFormatting>
  <conditionalFormatting sqref="AQ63">
    <cfRule type="cellIs" dxfId="347" priority="219" operator="greaterThan">
      <formula>0.03</formula>
    </cfRule>
    <cfRule type="cellIs" dxfId="346" priority="220" stopIfTrue="1" operator="lessThan">
      <formula>-0.03</formula>
    </cfRule>
  </conditionalFormatting>
  <conditionalFormatting sqref="AR63">
    <cfRule type="cellIs" dxfId="345" priority="217" operator="greaterThan">
      <formula>0.03</formula>
    </cfRule>
    <cfRule type="cellIs" dxfId="344" priority="218" stopIfTrue="1" operator="lessThan">
      <formula>-0.03</formula>
    </cfRule>
  </conditionalFormatting>
  <conditionalFormatting sqref="AP66:AQ66">
    <cfRule type="cellIs" dxfId="343" priority="215" operator="greaterThan">
      <formula>0.03</formula>
    </cfRule>
    <cfRule type="cellIs" dxfId="342" priority="216" stopIfTrue="1" operator="lessThan">
      <formula>-0.03</formula>
    </cfRule>
  </conditionalFormatting>
  <conditionalFormatting sqref="AM67:AO70">
    <cfRule type="cellIs" dxfId="341" priority="213" operator="greaterThan">
      <formula>0.03</formula>
    </cfRule>
    <cfRule type="cellIs" dxfId="340" priority="214" stopIfTrue="1" operator="lessThan">
      <formula>-0.03</formula>
    </cfRule>
  </conditionalFormatting>
  <conditionalFormatting sqref="AP67">
    <cfRule type="cellIs" dxfId="339" priority="211" operator="greaterThan">
      <formula>0.03</formula>
    </cfRule>
    <cfRule type="cellIs" dxfId="338" priority="212" stopIfTrue="1" operator="lessThan">
      <formula>-0.03</formula>
    </cfRule>
  </conditionalFormatting>
  <conditionalFormatting sqref="AQ67">
    <cfRule type="cellIs" dxfId="337" priority="209" operator="greaterThan">
      <formula>0.03</formula>
    </cfRule>
    <cfRule type="cellIs" dxfId="336" priority="210" stopIfTrue="1" operator="lessThan">
      <formula>-0.03</formula>
    </cfRule>
  </conditionalFormatting>
  <conditionalFormatting sqref="AR67">
    <cfRule type="cellIs" dxfId="335" priority="207" operator="greaterThan">
      <formula>0.03</formula>
    </cfRule>
    <cfRule type="cellIs" dxfId="334" priority="208" stopIfTrue="1" operator="lessThan">
      <formula>-0.03</formula>
    </cfRule>
  </conditionalFormatting>
  <conditionalFormatting sqref="AP70:AQ70">
    <cfRule type="cellIs" dxfId="333" priority="205" operator="greaterThan">
      <formula>0.03</formula>
    </cfRule>
    <cfRule type="cellIs" dxfId="332" priority="206" stopIfTrue="1" operator="lessThan">
      <formula>-0.03</formula>
    </cfRule>
  </conditionalFormatting>
  <conditionalFormatting sqref="V71:X86">
    <cfRule type="cellIs" dxfId="331" priority="203" operator="greaterThan">
      <formula>0.03</formula>
    </cfRule>
    <cfRule type="cellIs" dxfId="330" priority="204" stopIfTrue="1" operator="lessThan">
      <formula>-0.03</formula>
    </cfRule>
  </conditionalFormatting>
  <conditionalFormatting sqref="Y71">
    <cfRule type="cellIs" dxfId="329" priority="201" operator="greaterThan">
      <formula>0.03</formula>
    </cfRule>
    <cfRule type="cellIs" dxfId="328" priority="202" stopIfTrue="1" operator="lessThan">
      <formula>-0.03</formula>
    </cfRule>
  </conditionalFormatting>
  <conditionalFormatting sqref="Z71">
    <cfRule type="cellIs" dxfId="327" priority="199" operator="greaterThan">
      <formula>0.03</formula>
    </cfRule>
    <cfRule type="cellIs" dxfId="326" priority="200" stopIfTrue="1" operator="lessThan">
      <formula>-0.03</formula>
    </cfRule>
  </conditionalFormatting>
  <conditionalFormatting sqref="AA71">
    <cfRule type="cellIs" dxfId="325" priority="197" operator="greaterThan">
      <formula>0.03</formula>
    </cfRule>
    <cfRule type="cellIs" dxfId="324" priority="198" stopIfTrue="1" operator="lessThan">
      <formula>-0.03</formula>
    </cfRule>
  </conditionalFormatting>
  <conditionalFormatting sqref="Z75">
    <cfRule type="cellIs" dxfId="323" priority="193" operator="greaterThan">
      <formula>0.03</formula>
    </cfRule>
    <cfRule type="cellIs" dxfId="322" priority="194" stopIfTrue="1" operator="lessThan">
      <formula>-0.03</formula>
    </cfRule>
  </conditionalFormatting>
  <conditionalFormatting sqref="AA75">
    <cfRule type="cellIs" dxfId="321" priority="191" operator="greaterThan">
      <formula>0.03</formula>
    </cfRule>
    <cfRule type="cellIs" dxfId="320" priority="192" stopIfTrue="1" operator="lessThan">
      <formula>-0.03</formula>
    </cfRule>
  </conditionalFormatting>
  <conditionalFormatting sqref="Y79">
    <cfRule type="cellIs" dxfId="319" priority="189" operator="greaterThan">
      <formula>0.03</formula>
    </cfRule>
    <cfRule type="cellIs" dxfId="318" priority="190" stopIfTrue="1" operator="lessThan">
      <formula>-0.03</formula>
    </cfRule>
  </conditionalFormatting>
  <conditionalFormatting sqref="Z79">
    <cfRule type="cellIs" dxfId="317" priority="187" operator="greaterThan">
      <formula>0.03</formula>
    </cfRule>
    <cfRule type="cellIs" dxfId="316" priority="188" stopIfTrue="1" operator="lessThan">
      <formula>-0.03</formula>
    </cfRule>
  </conditionalFormatting>
  <conditionalFormatting sqref="Y75">
    <cfRule type="cellIs" dxfId="315" priority="195" operator="greaterThan">
      <formula>0.03</formula>
    </cfRule>
    <cfRule type="cellIs" dxfId="314" priority="196" stopIfTrue="1" operator="lessThan">
      <formula>-0.03</formula>
    </cfRule>
  </conditionalFormatting>
  <conditionalFormatting sqref="Y83">
    <cfRule type="cellIs" dxfId="313" priority="183" operator="greaterThan">
      <formula>0.03</formula>
    </cfRule>
    <cfRule type="cellIs" dxfId="312" priority="184" stopIfTrue="1" operator="lessThan">
      <formula>-0.03</formula>
    </cfRule>
  </conditionalFormatting>
  <conditionalFormatting sqref="Z83">
    <cfRule type="cellIs" dxfId="311" priority="181" operator="greaterThan">
      <formula>0.03</formula>
    </cfRule>
    <cfRule type="cellIs" dxfId="310" priority="182" stopIfTrue="1" operator="lessThan">
      <formula>-0.03</formula>
    </cfRule>
  </conditionalFormatting>
  <conditionalFormatting sqref="AA83">
    <cfRule type="cellIs" dxfId="309" priority="179" operator="greaterThan">
      <formula>0.03</formula>
    </cfRule>
    <cfRule type="cellIs" dxfId="308" priority="180" stopIfTrue="1" operator="lessThan">
      <formula>-0.03</formula>
    </cfRule>
  </conditionalFormatting>
  <conditionalFormatting sqref="Y74:Z74">
    <cfRule type="cellIs" dxfId="307" priority="177" operator="greaterThan">
      <formula>0.03</formula>
    </cfRule>
    <cfRule type="cellIs" dxfId="306" priority="178" stopIfTrue="1" operator="lessThan">
      <formula>-0.03</formula>
    </cfRule>
  </conditionalFormatting>
  <conditionalFormatting sqref="AA79">
    <cfRule type="cellIs" dxfId="305" priority="185" operator="greaterThan">
      <formula>0.03</formula>
    </cfRule>
    <cfRule type="cellIs" dxfId="304" priority="186" stopIfTrue="1" operator="lessThan">
      <formula>-0.03</formula>
    </cfRule>
  </conditionalFormatting>
  <conditionalFormatting sqref="AP71">
    <cfRule type="cellIs" dxfId="303" priority="167" operator="greaterThan">
      <formula>0.03</formula>
    </cfRule>
    <cfRule type="cellIs" dxfId="302" priority="168" stopIfTrue="1" operator="lessThan">
      <formula>-0.03</formula>
    </cfRule>
  </conditionalFormatting>
  <conditionalFormatting sqref="Y78:Z78">
    <cfRule type="cellIs" dxfId="301" priority="175" operator="greaterThan">
      <formula>0.03</formula>
    </cfRule>
    <cfRule type="cellIs" dxfId="300" priority="176" stopIfTrue="1" operator="lessThan">
      <formula>-0.03</formula>
    </cfRule>
  </conditionalFormatting>
  <conditionalFormatting sqref="Y82:Z82">
    <cfRule type="cellIs" dxfId="299" priority="173" operator="greaterThan">
      <formula>0.03</formula>
    </cfRule>
    <cfRule type="cellIs" dxfId="298" priority="174" stopIfTrue="1" operator="lessThan">
      <formula>-0.03</formula>
    </cfRule>
  </conditionalFormatting>
  <conditionalFormatting sqref="Y86:Z86">
    <cfRule type="cellIs" dxfId="297" priority="171" operator="greaterThan">
      <formula>0.03</formula>
    </cfRule>
    <cfRule type="cellIs" dxfId="296" priority="172" stopIfTrue="1" operator="lessThan">
      <formula>-0.03</formula>
    </cfRule>
  </conditionalFormatting>
  <conditionalFormatting sqref="AM71:AO74">
    <cfRule type="cellIs" dxfId="295" priority="169" operator="greaterThan">
      <formula>0.03</formula>
    </cfRule>
    <cfRule type="cellIs" dxfId="294" priority="170" stopIfTrue="1" operator="lessThan">
      <formula>-0.03</formula>
    </cfRule>
  </conditionalFormatting>
  <conditionalFormatting sqref="AQ71">
    <cfRule type="cellIs" dxfId="293" priority="165" operator="greaterThan">
      <formula>0.03</formula>
    </cfRule>
    <cfRule type="cellIs" dxfId="292" priority="166" stopIfTrue="1" operator="lessThan">
      <formula>-0.03</formula>
    </cfRule>
  </conditionalFormatting>
  <conditionalFormatting sqref="AR71">
    <cfRule type="cellIs" dxfId="291" priority="163" operator="greaterThan">
      <formula>0.03</formula>
    </cfRule>
    <cfRule type="cellIs" dxfId="290" priority="164" stopIfTrue="1" operator="lessThan">
      <formula>-0.03</formula>
    </cfRule>
  </conditionalFormatting>
  <conditionalFormatting sqref="AP74:AQ74">
    <cfRule type="cellIs" dxfId="289" priority="161" operator="greaterThan">
      <formula>0.03</formula>
    </cfRule>
    <cfRule type="cellIs" dxfId="288" priority="162" stopIfTrue="1" operator="lessThan">
      <formula>-0.03</formula>
    </cfRule>
  </conditionalFormatting>
  <conditionalFormatting sqref="AM75:AO78">
    <cfRule type="cellIs" dxfId="287" priority="159" operator="greaterThan">
      <formula>0.03</formula>
    </cfRule>
    <cfRule type="cellIs" dxfId="286" priority="160" stopIfTrue="1" operator="lessThan">
      <formula>-0.03</formula>
    </cfRule>
  </conditionalFormatting>
  <conditionalFormatting sqref="AP75">
    <cfRule type="cellIs" dxfId="285" priority="157" operator="greaterThan">
      <formula>0.03</formula>
    </cfRule>
    <cfRule type="cellIs" dxfId="284" priority="158" stopIfTrue="1" operator="lessThan">
      <formula>-0.03</formula>
    </cfRule>
  </conditionalFormatting>
  <conditionalFormatting sqref="V3:X18">
    <cfRule type="cellIs" dxfId="283" priority="545" operator="greaterThan">
      <formula>0.03</formula>
    </cfRule>
    <cfRule type="cellIs" dxfId="282" priority="546" stopIfTrue="1" operator="lessThan">
      <formula>-0.03</formula>
    </cfRule>
  </conditionalFormatting>
  <conditionalFormatting sqref="Y3">
    <cfRule type="cellIs" dxfId="281" priority="543" operator="greaterThan">
      <formula>0.03</formula>
    </cfRule>
    <cfRule type="cellIs" dxfId="280" priority="544" stopIfTrue="1" operator="lessThan">
      <formula>-0.03</formula>
    </cfRule>
  </conditionalFormatting>
  <conditionalFormatting sqref="Z3">
    <cfRule type="cellIs" dxfId="279" priority="541" operator="greaterThan">
      <formula>0.03</formula>
    </cfRule>
    <cfRule type="cellIs" dxfId="278" priority="542" stopIfTrue="1" operator="lessThan">
      <formula>-0.03</formula>
    </cfRule>
  </conditionalFormatting>
  <conditionalFormatting sqref="AA3">
    <cfRule type="cellIs" dxfId="277" priority="539" operator="greaterThan">
      <formula>0.03</formula>
    </cfRule>
    <cfRule type="cellIs" dxfId="276" priority="540" stopIfTrue="1" operator="lessThan">
      <formula>-0.03</formula>
    </cfRule>
  </conditionalFormatting>
  <conditionalFormatting sqref="Y7">
    <cfRule type="cellIs" dxfId="275" priority="537" operator="greaterThan">
      <formula>0.03</formula>
    </cfRule>
    <cfRule type="cellIs" dxfId="274" priority="538" stopIfTrue="1" operator="lessThan">
      <formula>-0.03</formula>
    </cfRule>
  </conditionalFormatting>
  <conditionalFormatting sqref="Z7">
    <cfRule type="cellIs" dxfId="273" priority="535" operator="greaterThan">
      <formula>0.03</formula>
    </cfRule>
    <cfRule type="cellIs" dxfId="272" priority="536" stopIfTrue="1" operator="lessThan">
      <formula>-0.03</formula>
    </cfRule>
  </conditionalFormatting>
  <conditionalFormatting sqref="Y11">
    <cfRule type="cellIs" dxfId="271" priority="531" operator="greaterThan">
      <formula>0.03</formula>
    </cfRule>
    <cfRule type="cellIs" dxfId="270" priority="532" stopIfTrue="1" operator="lessThan">
      <formula>-0.03</formula>
    </cfRule>
  </conditionalFormatting>
  <conditionalFormatting sqref="AA11">
    <cfRule type="cellIs" dxfId="269" priority="527" operator="greaterThan">
      <formula>0.03</formula>
    </cfRule>
    <cfRule type="cellIs" dxfId="268" priority="528" stopIfTrue="1" operator="lessThan">
      <formula>-0.03</formula>
    </cfRule>
  </conditionalFormatting>
  <conditionalFormatting sqref="Y15">
    <cfRule type="cellIs" dxfId="267" priority="525" operator="greaterThan">
      <formula>0.03</formula>
    </cfRule>
    <cfRule type="cellIs" dxfId="266" priority="526" stopIfTrue="1" operator="lessThan">
      <formula>-0.03</formula>
    </cfRule>
  </conditionalFormatting>
  <conditionalFormatting sqref="Z15">
    <cfRule type="cellIs" dxfId="265" priority="523" operator="greaterThan">
      <formula>0.03</formula>
    </cfRule>
    <cfRule type="cellIs" dxfId="264" priority="524" stopIfTrue="1" operator="lessThan">
      <formula>-0.03</formula>
    </cfRule>
  </conditionalFormatting>
  <conditionalFormatting sqref="AA15">
    <cfRule type="cellIs" dxfId="263" priority="521" operator="greaterThan">
      <formula>0.03</formula>
    </cfRule>
    <cfRule type="cellIs" dxfId="262" priority="522" stopIfTrue="1" operator="lessThan">
      <formula>-0.03</formula>
    </cfRule>
  </conditionalFormatting>
  <conditionalFormatting sqref="Y10:Z10">
    <cfRule type="cellIs" dxfId="261" priority="517" operator="greaterThan">
      <formula>0.03</formula>
    </cfRule>
    <cfRule type="cellIs" dxfId="260" priority="518" stopIfTrue="1" operator="lessThan">
      <formula>-0.03</formula>
    </cfRule>
  </conditionalFormatting>
  <conditionalFormatting sqref="AQ3">
    <cfRule type="cellIs" dxfId="259" priority="507" operator="greaterThan">
      <formula>0.03</formula>
    </cfRule>
    <cfRule type="cellIs" dxfId="258" priority="508" stopIfTrue="1" operator="lessThan">
      <formula>-0.03</formula>
    </cfRule>
  </conditionalFormatting>
  <conditionalFormatting sqref="AP15">
    <cfRule type="cellIs" dxfId="257" priority="479" operator="greaterThan">
      <formula>0.03</formula>
    </cfRule>
    <cfRule type="cellIs" dxfId="256" priority="480" stopIfTrue="1" operator="lessThan">
      <formula>-0.03</formula>
    </cfRule>
  </conditionalFormatting>
  <conditionalFormatting sqref="AM11:AO14">
    <cfRule type="cellIs" dxfId="255" priority="491" operator="greaterThan">
      <formula>0.03</formula>
    </cfRule>
    <cfRule type="cellIs" dxfId="254" priority="492" stopIfTrue="1" operator="lessThan">
      <formula>-0.03</formula>
    </cfRule>
  </conditionalFormatting>
  <conditionalFormatting sqref="AP11">
    <cfRule type="cellIs" dxfId="253" priority="489" operator="greaterThan">
      <formula>0.03</formula>
    </cfRule>
    <cfRule type="cellIs" dxfId="252" priority="490" stopIfTrue="1" operator="lessThan">
      <formula>-0.03</formula>
    </cfRule>
  </conditionalFormatting>
  <conditionalFormatting sqref="AQ11">
    <cfRule type="cellIs" dxfId="251" priority="487" operator="greaterThan">
      <formula>0.03</formula>
    </cfRule>
    <cfRule type="cellIs" dxfId="250" priority="488" stopIfTrue="1" operator="lessThan">
      <formula>-0.03</formula>
    </cfRule>
  </conditionalFormatting>
  <conditionalFormatting sqref="AR11">
    <cfRule type="cellIs" dxfId="249" priority="485" operator="greaterThan">
      <formula>0.03</formula>
    </cfRule>
    <cfRule type="cellIs" dxfId="248" priority="486" stopIfTrue="1" operator="lessThan">
      <formula>-0.03</formula>
    </cfRule>
  </conditionalFormatting>
  <conditionalFormatting sqref="AP14:AQ14">
    <cfRule type="cellIs" dxfId="247" priority="483" operator="greaterThan">
      <formula>0.03</formula>
    </cfRule>
    <cfRule type="cellIs" dxfId="246" priority="484" stopIfTrue="1" operator="lessThan">
      <formula>-0.03</formula>
    </cfRule>
  </conditionalFormatting>
  <conditionalFormatting sqref="AM15:AO18">
    <cfRule type="cellIs" dxfId="245" priority="481" operator="greaterThan">
      <formula>0.03</formula>
    </cfRule>
    <cfRule type="cellIs" dxfId="244" priority="482" stopIfTrue="1" operator="lessThan">
      <formula>-0.03</formula>
    </cfRule>
  </conditionalFormatting>
  <conditionalFormatting sqref="AQ23">
    <cfRule type="cellIs" dxfId="243" priority="399" operator="greaterThan">
      <formula>0.03</formula>
    </cfRule>
    <cfRule type="cellIs" dxfId="242" priority="400" stopIfTrue="1" operator="lessThan">
      <formula>-0.03</formula>
    </cfRule>
  </conditionalFormatting>
  <conditionalFormatting sqref="AR23">
    <cfRule type="cellIs" dxfId="241" priority="397" operator="greaterThan">
      <formula>0.03</formula>
    </cfRule>
    <cfRule type="cellIs" dxfId="240" priority="398" stopIfTrue="1" operator="lessThan">
      <formula>-0.03</formula>
    </cfRule>
  </conditionalFormatting>
  <conditionalFormatting sqref="AR19">
    <cfRule type="cellIs" dxfId="239" priority="407" operator="greaterThan">
      <formula>0.03</formula>
    </cfRule>
    <cfRule type="cellIs" dxfId="238" priority="408" stopIfTrue="1" operator="lessThan">
      <formula>-0.03</formula>
    </cfRule>
  </conditionalFormatting>
  <conditionalFormatting sqref="AM19:AO22">
    <cfRule type="cellIs" dxfId="237" priority="413" operator="greaterThan">
      <formula>0.03</formula>
    </cfRule>
    <cfRule type="cellIs" dxfId="236" priority="414" stopIfTrue="1" operator="lessThan">
      <formula>-0.03</formula>
    </cfRule>
  </conditionalFormatting>
  <conditionalFormatting sqref="AP19">
    <cfRule type="cellIs" dxfId="235" priority="411" operator="greaterThan">
      <formula>0.03</formula>
    </cfRule>
    <cfRule type="cellIs" dxfId="234" priority="412" stopIfTrue="1" operator="lessThan">
      <formula>-0.03</formula>
    </cfRule>
  </conditionalFormatting>
  <conditionalFormatting sqref="AP26:AQ26">
    <cfRule type="cellIs" dxfId="233" priority="395" operator="greaterThan">
      <formula>0.03</formula>
    </cfRule>
    <cfRule type="cellIs" dxfId="232" priority="396" stopIfTrue="1" operator="lessThan">
      <formula>-0.03</formula>
    </cfRule>
  </conditionalFormatting>
  <conditionalFormatting sqref="V119:AA120">
    <cfRule type="cellIs" dxfId="231" priority="469" operator="greaterThan">
      <formula>0.03</formula>
    </cfRule>
    <cfRule type="cellIs" dxfId="230" priority="470" stopIfTrue="1" operator="lessThan">
      <formula>-0.03</formula>
    </cfRule>
  </conditionalFormatting>
  <conditionalFormatting sqref="AQ15">
    <cfRule type="cellIs" dxfId="229" priority="477" operator="greaterThan">
      <formula>0.03</formula>
    </cfRule>
    <cfRule type="cellIs" dxfId="228" priority="478" stopIfTrue="1" operator="lessThan">
      <formula>-0.03</formula>
    </cfRule>
  </conditionalFormatting>
  <conditionalFormatting sqref="AM121:AR121">
    <cfRule type="cellIs" dxfId="227" priority="451" operator="greaterThan">
      <formula>0.03</formula>
    </cfRule>
    <cfRule type="cellIs" dxfId="226" priority="452" stopIfTrue="1" operator="lessThan">
      <formula>-0.03</formula>
    </cfRule>
  </conditionalFormatting>
  <conditionalFormatting sqref="AM122:AR122">
    <cfRule type="cellIs" dxfId="225" priority="459" operator="greaterThan">
      <formula>0.03</formula>
    </cfRule>
    <cfRule type="cellIs" dxfId="224" priority="460" stopIfTrue="1" operator="lessThan">
      <formula>-0.03</formula>
    </cfRule>
  </conditionalFormatting>
  <conditionalFormatting sqref="V115:AA115 V117:AA117">
    <cfRule type="cellIs" dxfId="223" priority="467" operator="greaterThan">
      <formula>0.03</formula>
    </cfRule>
    <cfRule type="cellIs" dxfId="222" priority="468" stopIfTrue="1" operator="lessThan">
      <formula>-0.03</formula>
    </cfRule>
  </conditionalFormatting>
  <conditionalFormatting sqref="AR15">
    <cfRule type="cellIs" dxfId="221" priority="475" operator="greaterThan">
      <formula>0.03</formula>
    </cfRule>
    <cfRule type="cellIs" dxfId="220" priority="476" stopIfTrue="1" operator="lessThan">
      <formula>-0.03</formula>
    </cfRule>
  </conditionalFormatting>
  <conditionalFormatting sqref="Y23">
    <cfRule type="cellIs" dxfId="219" priority="439" operator="greaterThan">
      <formula>0.03</formula>
    </cfRule>
    <cfRule type="cellIs" dxfId="218" priority="440" stopIfTrue="1" operator="lessThan">
      <formula>-0.03</formula>
    </cfRule>
  </conditionalFormatting>
  <conditionalFormatting sqref="AM27:AO30">
    <cfRule type="cellIs" dxfId="217" priority="393" operator="greaterThan">
      <formula>0.03</formula>
    </cfRule>
    <cfRule type="cellIs" dxfId="216" priority="394" stopIfTrue="1" operator="lessThan">
      <formula>-0.03</formula>
    </cfRule>
  </conditionalFormatting>
  <conditionalFormatting sqref="AP27">
    <cfRule type="cellIs" dxfId="215" priority="391" operator="greaterThan">
      <formula>0.03</formula>
    </cfRule>
    <cfRule type="cellIs" dxfId="214" priority="392" stopIfTrue="1" operator="lessThan">
      <formula>-0.03</formula>
    </cfRule>
  </conditionalFormatting>
  <conditionalFormatting sqref="AQ27">
    <cfRule type="cellIs" dxfId="213" priority="389" operator="greaterThan">
      <formula>0.03</formula>
    </cfRule>
    <cfRule type="cellIs" dxfId="212" priority="390" stopIfTrue="1" operator="lessThan">
      <formula>-0.03</formula>
    </cfRule>
  </conditionalFormatting>
  <conditionalFormatting sqref="AR27">
    <cfRule type="cellIs" dxfId="211" priority="387" operator="greaterThan">
      <formula>0.03</formula>
    </cfRule>
    <cfRule type="cellIs" dxfId="210" priority="388" stopIfTrue="1" operator="lessThan">
      <formula>-0.03</formula>
    </cfRule>
  </conditionalFormatting>
  <conditionalFormatting sqref="V116:AA116">
    <cfRule type="cellIs" dxfId="209" priority="461" operator="greaterThan">
      <formula>0.03</formula>
    </cfRule>
    <cfRule type="cellIs" dxfId="208" priority="462" stopIfTrue="1" operator="lessThan">
      <formula>-0.03</formula>
    </cfRule>
  </conditionalFormatting>
  <conditionalFormatting sqref="AM118:AR118">
    <cfRule type="cellIs" dxfId="207" priority="453" operator="greaterThan">
      <formula>0.03</formula>
    </cfRule>
    <cfRule type="cellIs" dxfId="206" priority="454" stopIfTrue="1" operator="lessThan">
      <formula>-0.03</formula>
    </cfRule>
  </conditionalFormatting>
  <conditionalFormatting sqref="AM116:AR116">
    <cfRule type="cellIs" dxfId="205" priority="449" operator="greaterThan">
      <formula>0.03</formula>
    </cfRule>
    <cfRule type="cellIs" dxfId="204" priority="450" stopIfTrue="1" operator="lessThan">
      <formula>-0.03</formula>
    </cfRule>
  </conditionalFormatting>
  <conditionalFormatting sqref="V19:X34">
    <cfRule type="cellIs" dxfId="203" priority="447" operator="greaterThan">
      <formula>0.03</formula>
    </cfRule>
    <cfRule type="cellIs" dxfId="202" priority="448" stopIfTrue="1" operator="lessThan">
      <formula>-0.03</formula>
    </cfRule>
  </conditionalFormatting>
  <conditionalFormatting sqref="Y19">
    <cfRule type="cellIs" dxfId="201" priority="445" operator="greaterThan">
      <formula>0.03</formula>
    </cfRule>
    <cfRule type="cellIs" dxfId="200" priority="446" stopIfTrue="1" operator="lessThan">
      <formula>-0.03</formula>
    </cfRule>
  </conditionalFormatting>
  <conditionalFormatting sqref="V118:AA118">
    <cfRule type="cellIs" dxfId="199" priority="465" operator="greaterThan">
      <formula>0.03</formula>
    </cfRule>
    <cfRule type="cellIs" dxfId="198" priority="466" stopIfTrue="1" operator="lessThan">
      <formula>-0.03</formula>
    </cfRule>
  </conditionalFormatting>
  <conditionalFormatting sqref="V121:AA121">
    <cfRule type="cellIs" dxfId="197" priority="463" operator="greaterThan">
      <formula>0.03</formula>
    </cfRule>
    <cfRule type="cellIs" dxfId="196" priority="464" stopIfTrue="1" operator="lessThan">
      <formula>-0.03</formula>
    </cfRule>
  </conditionalFormatting>
  <conditionalFormatting sqref="AM115:AR115 AM117:AR117">
    <cfRule type="cellIs" dxfId="195" priority="455" operator="greaterThan">
      <formula>0.03</formula>
    </cfRule>
    <cfRule type="cellIs" dxfId="194" priority="456" stopIfTrue="1" operator="lessThan">
      <formula>-0.03</formula>
    </cfRule>
  </conditionalFormatting>
  <conditionalFormatting sqref="Z19">
    <cfRule type="cellIs" dxfId="193" priority="443" operator="greaterThan">
      <formula>0.03</formula>
    </cfRule>
    <cfRule type="cellIs" dxfId="192" priority="444" stopIfTrue="1" operator="lessThan">
      <formula>-0.03</formula>
    </cfRule>
  </conditionalFormatting>
  <conditionalFormatting sqref="AA19">
    <cfRule type="cellIs" dxfId="191" priority="441" operator="greaterThan">
      <formula>0.03</formula>
    </cfRule>
    <cfRule type="cellIs" dxfId="190" priority="442" stopIfTrue="1" operator="lessThan">
      <formula>-0.03</formula>
    </cfRule>
  </conditionalFormatting>
  <conditionalFormatting sqref="Z27">
    <cfRule type="cellIs" dxfId="189" priority="431" operator="greaterThan">
      <formula>0.03</formula>
    </cfRule>
    <cfRule type="cellIs" dxfId="188" priority="432" stopIfTrue="1" operator="lessThan">
      <formula>-0.03</formula>
    </cfRule>
  </conditionalFormatting>
  <conditionalFormatting sqref="AA27">
    <cfRule type="cellIs" dxfId="187" priority="429" operator="greaterThan">
      <formula>0.03</formula>
    </cfRule>
    <cfRule type="cellIs" dxfId="186" priority="430" stopIfTrue="1" operator="lessThan">
      <formula>-0.03</formula>
    </cfRule>
  </conditionalFormatting>
  <conditionalFormatting sqref="Y31">
    <cfRule type="cellIs" dxfId="185" priority="427" operator="greaterThan">
      <formula>0.03</formula>
    </cfRule>
    <cfRule type="cellIs" dxfId="184" priority="428" stopIfTrue="1" operator="lessThan">
      <formula>-0.03</formula>
    </cfRule>
  </conditionalFormatting>
  <conditionalFormatting sqref="AA31">
    <cfRule type="cellIs" dxfId="183" priority="423" operator="greaterThan">
      <formula>0.03</formula>
    </cfRule>
    <cfRule type="cellIs" dxfId="182" priority="424" stopIfTrue="1" operator="lessThan">
      <formula>-0.03</formula>
    </cfRule>
  </conditionalFormatting>
  <conditionalFormatting sqref="Y22:Z22">
    <cfRule type="cellIs" dxfId="181" priority="421" operator="greaterThan">
      <formula>0.03</formula>
    </cfRule>
    <cfRule type="cellIs" dxfId="180" priority="422" stopIfTrue="1" operator="lessThan">
      <formula>-0.03</formula>
    </cfRule>
  </conditionalFormatting>
  <conditionalFormatting sqref="Y26:Z26">
    <cfRule type="cellIs" dxfId="179" priority="419" operator="greaterThan">
      <formula>0.03</formula>
    </cfRule>
    <cfRule type="cellIs" dxfId="178" priority="420" stopIfTrue="1" operator="lessThan">
      <formula>-0.03</formula>
    </cfRule>
  </conditionalFormatting>
  <conditionalFormatting sqref="Y30:Z30">
    <cfRule type="cellIs" dxfId="177" priority="417" operator="greaterThan">
      <formula>0.03</formula>
    </cfRule>
    <cfRule type="cellIs" dxfId="176" priority="418" stopIfTrue="1" operator="lessThan">
      <formula>-0.03</formula>
    </cfRule>
  </conditionalFormatting>
  <conditionalFormatting sqref="Y34:Z34">
    <cfRule type="cellIs" dxfId="175" priority="415" operator="greaterThan">
      <formula>0.03</formula>
    </cfRule>
    <cfRule type="cellIs" dxfId="174" priority="416" stopIfTrue="1" operator="lessThan">
      <formula>-0.03</formula>
    </cfRule>
  </conditionalFormatting>
  <conditionalFormatting sqref="AP30:AQ30">
    <cfRule type="cellIs" dxfId="173" priority="385" operator="greaterThan">
      <formula>0.03</formula>
    </cfRule>
    <cfRule type="cellIs" dxfId="172" priority="386" stopIfTrue="1" operator="lessThan">
      <formula>-0.03</formula>
    </cfRule>
  </conditionalFormatting>
  <conditionalFormatting sqref="AM31:AO34">
    <cfRule type="cellIs" dxfId="171" priority="383" operator="greaterThan">
      <formula>0.03</formula>
    </cfRule>
    <cfRule type="cellIs" dxfId="170" priority="384" stopIfTrue="1" operator="lessThan">
      <formula>-0.03</formula>
    </cfRule>
  </conditionalFormatting>
  <conditionalFormatting sqref="AP31">
    <cfRule type="cellIs" dxfId="169" priority="381" operator="greaterThan">
      <formula>0.03</formula>
    </cfRule>
    <cfRule type="cellIs" dxfId="168" priority="382" stopIfTrue="1" operator="lessThan">
      <formula>-0.03</formula>
    </cfRule>
  </conditionalFormatting>
  <conditionalFormatting sqref="AQ31">
    <cfRule type="cellIs" dxfId="167" priority="379" operator="greaterThan">
      <formula>0.03</formula>
    </cfRule>
    <cfRule type="cellIs" dxfId="166" priority="380" stopIfTrue="1" operator="lessThan">
      <formula>-0.03</formula>
    </cfRule>
  </conditionalFormatting>
  <conditionalFormatting sqref="AR31">
    <cfRule type="cellIs" dxfId="165" priority="377" operator="greaterThan">
      <formula>0.03</formula>
    </cfRule>
    <cfRule type="cellIs" dxfId="164" priority="378" stopIfTrue="1" operator="lessThan">
      <formula>-0.03</formula>
    </cfRule>
  </conditionalFormatting>
  <conditionalFormatting sqref="AP34:AQ34">
    <cfRule type="cellIs" dxfId="163" priority="375" operator="greaterThan">
      <formula>0.03</formula>
    </cfRule>
    <cfRule type="cellIs" dxfId="162" priority="376" stopIfTrue="1" operator="lessThan">
      <formula>-0.03</formula>
    </cfRule>
  </conditionalFormatting>
  <conditionalFormatting sqref="V35:X38">
    <cfRule type="cellIs" dxfId="161" priority="373" operator="greaterThan">
      <formula>0.03</formula>
    </cfRule>
    <cfRule type="cellIs" dxfId="160" priority="374" stopIfTrue="1" operator="lessThan">
      <formula>-0.03</formula>
    </cfRule>
  </conditionalFormatting>
  <conditionalFormatting sqref="Y35">
    <cfRule type="cellIs" dxfId="159" priority="371" operator="greaterThan">
      <formula>0.03</formula>
    </cfRule>
    <cfRule type="cellIs" dxfId="158" priority="372" stopIfTrue="1" operator="lessThan">
      <formula>-0.03</formula>
    </cfRule>
  </conditionalFormatting>
  <conditionalFormatting sqref="Z35">
    <cfRule type="cellIs" dxfId="157" priority="369" operator="greaterThan">
      <formula>0.03</formula>
    </cfRule>
    <cfRule type="cellIs" dxfId="156" priority="370" stopIfTrue="1" operator="lessThan">
      <formula>-0.03</formula>
    </cfRule>
  </conditionalFormatting>
  <conditionalFormatting sqref="Y110:Z110">
    <cfRule type="cellIs" dxfId="155" priority="99" operator="greaterThan">
      <formula>0.03</formula>
    </cfRule>
    <cfRule type="cellIs" dxfId="154" priority="100" stopIfTrue="1" operator="lessThan">
      <formula>-0.03</formula>
    </cfRule>
  </conditionalFormatting>
  <conditionalFormatting sqref="Y106:Z106">
    <cfRule type="cellIs" dxfId="153" priority="101" operator="greaterThan">
      <formula>0.03</formula>
    </cfRule>
    <cfRule type="cellIs" dxfId="152" priority="102" stopIfTrue="1" operator="lessThan">
      <formula>-0.03</formula>
    </cfRule>
  </conditionalFormatting>
  <conditionalFormatting sqref="AM99:AO102">
    <cfRule type="cellIs" dxfId="151" priority="95" operator="greaterThan">
      <formula>0.03</formula>
    </cfRule>
    <cfRule type="cellIs" dxfId="150" priority="96" stopIfTrue="1" operator="lessThan">
      <formula>-0.03</formula>
    </cfRule>
  </conditionalFormatting>
  <conditionalFormatting sqref="AQ99">
    <cfRule type="cellIs" dxfId="149" priority="91" operator="greaterThan">
      <formula>0.03</formula>
    </cfRule>
    <cfRule type="cellIs" dxfId="148" priority="92" stopIfTrue="1" operator="lessThan">
      <formula>-0.03</formula>
    </cfRule>
  </conditionalFormatting>
  <conditionalFormatting sqref="AP99">
    <cfRule type="cellIs" dxfId="147" priority="93" operator="greaterThan">
      <formula>0.03</formula>
    </cfRule>
    <cfRule type="cellIs" dxfId="146" priority="94" stopIfTrue="1" operator="lessThan">
      <formula>-0.03</formula>
    </cfRule>
  </conditionalFormatting>
  <conditionalFormatting sqref="AR99">
    <cfRule type="cellIs" dxfId="145" priority="89" operator="greaterThan">
      <formula>0.03</formula>
    </cfRule>
    <cfRule type="cellIs" dxfId="144" priority="90" stopIfTrue="1" operator="lessThan">
      <formula>-0.03</formula>
    </cfRule>
  </conditionalFormatting>
  <conditionalFormatting sqref="AM103:AO106">
    <cfRule type="cellIs" dxfId="143" priority="85" operator="greaterThan">
      <formula>0.03</formula>
    </cfRule>
    <cfRule type="cellIs" dxfId="142" priority="86" stopIfTrue="1" operator="lessThan">
      <formula>-0.03</formula>
    </cfRule>
  </conditionalFormatting>
  <conditionalFormatting sqref="AQ103">
    <cfRule type="cellIs" dxfId="141" priority="81" operator="greaterThan">
      <formula>0.03</formula>
    </cfRule>
    <cfRule type="cellIs" dxfId="140" priority="82" stopIfTrue="1" operator="lessThan">
      <formula>-0.03</formula>
    </cfRule>
  </conditionalFormatting>
  <conditionalFormatting sqref="AP103">
    <cfRule type="cellIs" dxfId="139" priority="83" operator="greaterThan">
      <formula>0.03</formula>
    </cfRule>
    <cfRule type="cellIs" dxfId="138" priority="84" stopIfTrue="1" operator="lessThan">
      <formula>-0.03</formula>
    </cfRule>
  </conditionalFormatting>
  <conditionalFormatting sqref="AR103">
    <cfRule type="cellIs" dxfId="137" priority="79" operator="greaterThan">
      <formula>0.03</formula>
    </cfRule>
    <cfRule type="cellIs" dxfId="136" priority="80" stopIfTrue="1" operator="lessThan">
      <formula>-0.03</formula>
    </cfRule>
  </conditionalFormatting>
  <conditionalFormatting sqref="Y114:Z114">
    <cfRule type="cellIs" dxfId="135" priority="97" operator="greaterThan">
      <formula>0.03</formula>
    </cfRule>
    <cfRule type="cellIs" dxfId="134" priority="98" stopIfTrue="1" operator="lessThan">
      <formula>-0.03</formula>
    </cfRule>
  </conditionalFormatting>
  <conditionalFormatting sqref="AP102:AQ102">
    <cfRule type="cellIs" dxfId="133" priority="87" operator="greaterThan">
      <formula>0.03</formula>
    </cfRule>
    <cfRule type="cellIs" dxfId="132" priority="88" stopIfTrue="1" operator="lessThan">
      <formula>-0.03</formula>
    </cfRule>
  </conditionalFormatting>
  <conditionalFormatting sqref="AP106:AQ106">
    <cfRule type="cellIs" dxfId="131" priority="77" operator="greaterThan">
      <formula>0.03</formula>
    </cfRule>
    <cfRule type="cellIs" dxfId="130" priority="78" stopIfTrue="1" operator="lessThan">
      <formula>-0.03</formula>
    </cfRule>
  </conditionalFormatting>
  <conditionalFormatting sqref="AM107:AO110">
    <cfRule type="cellIs" dxfId="129" priority="75" operator="greaterThan">
      <formula>0.03</formula>
    </cfRule>
    <cfRule type="cellIs" dxfId="128" priority="76" stopIfTrue="1" operator="lessThan">
      <formula>-0.03</formula>
    </cfRule>
  </conditionalFormatting>
  <conditionalFormatting sqref="AP107">
    <cfRule type="cellIs" dxfId="127" priority="73" operator="greaterThan">
      <formula>0.03</formula>
    </cfRule>
    <cfRule type="cellIs" dxfId="126" priority="74" stopIfTrue="1" operator="lessThan">
      <formula>-0.03</formula>
    </cfRule>
  </conditionalFormatting>
  <conditionalFormatting sqref="AP110:AQ110">
    <cfRule type="cellIs" dxfId="125" priority="67" operator="greaterThan">
      <formula>0.03</formula>
    </cfRule>
    <cfRule type="cellIs" dxfId="124" priority="68" stopIfTrue="1" operator="lessThan">
      <formula>-0.03</formula>
    </cfRule>
  </conditionalFormatting>
  <conditionalFormatting sqref="AQ111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R111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Q87">
    <cfRule type="cellIs" dxfId="119" priority="25" operator="greaterThan">
      <formula>0.03</formula>
    </cfRule>
    <cfRule type="cellIs" dxfId="118" priority="26" stopIfTrue="1" operator="lessThan">
      <formula>-0.03</formula>
    </cfRule>
  </conditionalFormatting>
  <conditionalFormatting sqref="Z91">
    <cfRule type="cellIs" dxfId="117" priority="45" operator="greaterThan">
      <formula>0.03</formula>
    </cfRule>
    <cfRule type="cellIs" dxfId="116" priority="46" stopIfTrue="1" operator="lessThan">
      <formula>-0.03</formula>
    </cfRule>
  </conditionalFormatting>
  <conditionalFormatting sqref="AQ107">
    <cfRule type="cellIs" dxfId="115" priority="71" operator="greaterThan">
      <formula>0.03</formula>
    </cfRule>
    <cfRule type="cellIs" dxfId="114" priority="72" stopIfTrue="1" operator="lessThan">
      <formula>-0.03</formula>
    </cfRule>
  </conditionalFormatting>
  <conditionalFormatting sqref="AR107">
    <cfRule type="cellIs" dxfId="113" priority="69" operator="greaterThan">
      <formula>0.03</formula>
    </cfRule>
    <cfRule type="cellIs" dxfId="112" priority="70" stopIfTrue="1" operator="lessThan">
      <formula>-0.03</formula>
    </cfRule>
  </conditionalFormatting>
  <conditionalFormatting sqref="AM111:AO114">
    <cfRule type="cellIs" dxfId="111" priority="65" operator="greaterThan">
      <formula>0.03</formula>
    </cfRule>
    <cfRule type="cellIs" dxfId="110" priority="66" stopIfTrue="1" operator="lessThan">
      <formula>-0.03</formula>
    </cfRule>
  </conditionalFormatting>
  <conditionalFormatting sqref="AP114:AQ114">
    <cfRule type="cellIs" dxfId="109" priority="57" operator="greaterThan">
      <formula>0.03</formula>
    </cfRule>
    <cfRule type="cellIs" dxfId="108" priority="58" stopIfTrue="1" operator="lessThan">
      <formula>-0.03</formula>
    </cfRule>
  </conditionalFormatting>
  <conditionalFormatting sqref="Z95">
    <cfRule type="cellIs" dxfId="107" priority="39" operator="greaterThan">
      <formula>0.03</formula>
    </cfRule>
    <cfRule type="cellIs" dxfId="106" priority="40" stopIfTrue="1" operator="lessThan">
      <formula>-0.03</formula>
    </cfRule>
  </conditionalFormatting>
  <conditionalFormatting sqref="Y91">
    <cfRule type="cellIs" dxfId="105" priority="47" operator="greaterThan">
      <formula>0.03</formula>
    </cfRule>
    <cfRule type="cellIs" dxfId="104" priority="48" stopIfTrue="1" operator="lessThan">
      <formula>-0.03</formula>
    </cfRule>
  </conditionalFormatting>
  <conditionalFormatting sqref="V87:X98">
    <cfRule type="cellIs" dxfId="103" priority="55" operator="greaterThan">
      <formula>0.03</formula>
    </cfRule>
    <cfRule type="cellIs" dxfId="102" priority="56" stopIfTrue="1" operator="lessThan">
      <formula>-0.03</formula>
    </cfRule>
  </conditionalFormatting>
  <conditionalFormatting sqref="AP111">
    <cfRule type="cellIs" dxfId="101" priority="63" operator="greaterThan">
      <formula>0.03</formula>
    </cfRule>
    <cfRule type="cellIs" dxfId="100" priority="64" stopIfTrue="1" operator="lessThan">
      <formula>-0.03</formula>
    </cfRule>
  </conditionalFormatting>
  <conditionalFormatting sqref="AP87">
    <cfRule type="cellIs" dxfId="99" priority="27" operator="greaterThan">
      <formula>0.03</formula>
    </cfRule>
    <cfRule type="cellIs" dxfId="98" priority="28" stopIfTrue="1" operator="lessThan">
      <formula>-0.03</formula>
    </cfRule>
  </conditionalFormatting>
  <conditionalFormatting sqref="AA87">
    <cfRule type="cellIs" dxfId="97" priority="49" operator="greaterThan">
      <formula>0.03</formula>
    </cfRule>
    <cfRule type="cellIs" dxfId="96" priority="50" stopIfTrue="1" operator="lessThan">
      <formula>-0.03</formula>
    </cfRule>
  </conditionalFormatting>
  <conditionalFormatting sqref="Y95">
    <cfRule type="cellIs" dxfId="95" priority="41" operator="greaterThan">
      <formula>0.03</formula>
    </cfRule>
    <cfRule type="cellIs" dxfId="94" priority="42" stopIfTrue="1" operator="lessThan">
      <formula>-0.03</formula>
    </cfRule>
  </conditionalFormatting>
  <conditionalFormatting sqref="AA95">
    <cfRule type="cellIs" dxfId="93" priority="37" operator="greaterThan">
      <formula>0.03</formula>
    </cfRule>
    <cfRule type="cellIs" dxfId="92" priority="38" stopIfTrue="1" operator="lessThan">
      <formula>-0.03</formula>
    </cfRule>
  </conditionalFormatting>
  <conditionalFormatting sqref="Y90:Z90">
    <cfRule type="cellIs" dxfId="91" priority="35" operator="greaterThan">
      <formula>0.03</formula>
    </cfRule>
    <cfRule type="cellIs" dxfId="90" priority="36" stopIfTrue="1" operator="lessThan">
      <formula>-0.03</formula>
    </cfRule>
  </conditionalFormatting>
  <conditionalFormatting sqref="Y94:Z94">
    <cfRule type="cellIs" dxfId="89" priority="33" operator="greaterThan">
      <formula>0.03</formula>
    </cfRule>
    <cfRule type="cellIs" dxfId="88" priority="34" stopIfTrue="1" operator="lessThan">
      <formula>-0.03</formula>
    </cfRule>
  </conditionalFormatting>
  <conditionalFormatting sqref="Y87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Z87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AA91">
    <cfRule type="cellIs" dxfId="83" priority="43" operator="greaterThan">
      <formula>0.03</formula>
    </cfRule>
    <cfRule type="cellIs" dxfId="82" priority="44" stopIfTrue="1" operator="lessThan">
      <formula>-0.03</formula>
    </cfRule>
  </conditionalFormatting>
  <conditionalFormatting sqref="Y98:Z98">
    <cfRule type="cellIs" dxfId="81" priority="31" operator="greaterThan">
      <formula>0.03</formula>
    </cfRule>
    <cfRule type="cellIs" dxfId="80" priority="32" stopIfTrue="1" operator="lessThan">
      <formula>-0.03</formula>
    </cfRule>
  </conditionalFormatting>
  <conditionalFormatting sqref="AM87:AO90">
    <cfRule type="cellIs" dxfId="79" priority="29" operator="greaterThan">
      <formula>0.03</formula>
    </cfRule>
    <cfRule type="cellIs" dxfId="78" priority="30" stopIfTrue="1" operator="lessThan">
      <formula>-0.03</formula>
    </cfRule>
  </conditionalFormatting>
  <conditionalFormatting sqref="AP91">
    <cfRule type="cellIs" dxfId="77" priority="17" operator="greaterThan">
      <formula>0.03</formula>
    </cfRule>
    <cfRule type="cellIs" dxfId="76" priority="18" stopIfTrue="1" operator="lessThan">
      <formula>-0.03</formula>
    </cfRule>
  </conditionalFormatting>
  <conditionalFormatting sqref="AQ91">
    <cfRule type="cellIs" dxfId="75" priority="15" operator="greaterThan">
      <formula>0.03</formula>
    </cfRule>
    <cfRule type="cellIs" dxfId="74" priority="16" stopIfTrue="1" operator="lessThan">
      <formula>-0.03</formula>
    </cfRule>
  </conditionalFormatting>
  <conditionalFormatting sqref="AR87">
    <cfRule type="cellIs" dxfId="73" priority="23" operator="greaterThan">
      <formula>0.03</formula>
    </cfRule>
    <cfRule type="cellIs" dxfId="72" priority="24" stopIfTrue="1" operator="lessThan">
      <formula>-0.03</formula>
    </cfRule>
  </conditionalFormatting>
  <conditionalFormatting sqref="AM91:AO94">
    <cfRule type="cellIs" dxfId="71" priority="19" operator="greaterThan">
      <formula>0.03</formula>
    </cfRule>
    <cfRule type="cellIs" dxfId="70" priority="20" stopIfTrue="1" operator="lessThan">
      <formula>-0.03</formula>
    </cfRule>
  </conditionalFormatting>
  <conditionalFormatting sqref="AP90:AQ90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AQ95">
    <cfRule type="cellIs" dxfId="67" priority="5" operator="greaterThan">
      <formula>0.03</formula>
    </cfRule>
    <cfRule type="cellIs" dxfId="66" priority="6" stopIfTrue="1" operator="lessThan">
      <formula>-0.03</formula>
    </cfRule>
  </conditionalFormatting>
  <conditionalFormatting sqref="AR91">
    <cfRule type="cellIs" dxfId="65" priority="13" operator="greaterThan">
      <formula>0.03</formula>
    </cfRule>
    <cfRule type="cellIs" dxfId="64" priority="14" stopIfTrue="1" operator="lessThan">
      <formula>-0.03</formula>
    </cfRule>
  </conditionalFormatting>
  <conditionalFormatting sqref="AP98:AQ98">
    <cfRule type="cellIs" dxfId="63" priority="1" operator="greaterThan">
      <formula>0.03</formula>
    </cfRule>
    <cfRule type="cellIs" dxfId="62" priority="2" stopIfTrue="1" operator="lessThan">
      <formula>-0.03</formula>
    </cfRule>
  </conditionalFormatting>
  <conditionalFormatting sqref="AP94:AQ94">
    <cfRule type="cellIs" dxfId="61" priority="11" operator="greaterThan">
      <formula>0.03</formula>
    </cfRule>
    <cfRule type="cellIs" dxfId="60" priority="12" stopIfTrue="1" operator="lessThan">
      <formula>-0.03</formula>
    </cfRule>
  </conditionalFormatting>
  <conditionalFormatting sqref="AM95:AO98">
    <cfRule type="cellIs" dxfId="59" priority="9" operator="greaterThan">
      <formula>0.03</formula>
    </cfRule>
    <cfRule type="cellIs" dxfId="58" priority="10" stopIfTrue="1" operator="lessThan">
      <formula>-0.03</formula>
    </cfRule>
  </conditionalFormatting>
  <conditionalFormatting sqref="AP95">
    <cfRule type="cellIs" dxfId="57" priority="7" operator="greaterThan">
      <formula>0.03</formula>
    </cfRule>
    <cfRule type="cellIs" dxfId="56" priority="8" stopIfTrue="1" operator="lessThan">
      <formula>-0.03</formula>
    </cfRule>
  </conditionalFormatting>
  <conditionalFormatting sqref="AR95">
    <cfRule type="cellIs" dxfId="55" priority="3" operator="greaterThan">
      <formula>0.03</formula>
    </cfRule>
    <cfRule type="cellIs" dxfId="54" priority="4" stopIfTrue="1" operator="lessThan">
      <formula>-0.03</formula>
    </cfRule>
  </conditionalFormatting>
  <conditionalFormatting sqref="Y102:Z102">
    <cfRule type="cellIs" dxfId="53" priority="103" operator="greaterThan">
      <formula>0.03</formula>
    </cfRule>
    <cfRule type="cellIs" dxfId="52" priority="104" stopIfTrue="1" operator="lessThan">
      <formula>-0.03</formula>
    </cfRule>
  </conditionalFormatting>
  <conditionalFormatting sqref="Z111">
    <cfRule type="cellIs" dxfId="51" priority="107" operator="greaterThan">
      <formula>0.03</formula>
    </cfRule>
    <cfRule type="cellIs" dxfId="50" priority="108" stopIfTrue="1" operator="lessThan">
      <formula>-0.03</formula>
    </cfRule>
  </conditionalFormatting>
  <conditionalFormatting sqref="Y111">
    <cfRule type="cellIs" dxfId="49" priority="109" operator="greaterThan">
      <formula>0.03</formula>
    </cfRule>
    <cfRule type="cellIs" dxfId="48" priority="110" stopIfTrue="1" operator="lessThan">
      <formula>-0.03</formula>
    </cfRule>
  </conditionalFormatting>
  <conditionalFormatting sqref="AA111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AP86:AQ86">
    <cfRule type="cellIs" dxfId="45" priority="131" operator="greaterThan">
      <formula>0.03</formula>
    </cfRule>
    <cfRule type="cellIs" dxfId="44" priority="132" stopIfTrue="1" operator="lessThan">
      <formula>-0.03</formula>
    </cfRule>
  </conditionalFormatting>
  <conditionalFormatting sqref="AP78:AQ78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AQ79">
    <cfRule type="cellIs" dxfId="41" priority="145" operator="greaterThan">
      <formula>0.03</formula>
    </cfRule>
    <cfRule type="cellIs" dxfId="40" priority="146" stopIfTrue="1" operator="lessThan">
      <formula>-0.03</formula>
    </cfRule>
  </conditionalFormatting>
  <conditionalFormatting sqref="AR75">
    <cfRule type="cellIs" dxfId="39" priority="153" operator="greaterThan">
      <formula>0.03</formula>
    </cfRule>
    <cfRule type="cellIs" dxfId="38" priority="154" stopIfTrue="1" operator="lessThan">
      <formula>-0.03</formula>
    </cfRule>
  </conditionalFormatting>
  <conditionalFormatting sqref="AR83">
    <cfRule type="cellIs" dxfId="37" priority="133" operator="greaterThan">
      <formula>0.03</formula>
    </cfRule>
    <cfRule type="cellIs" dxfId="36" priority="134" stopIfTrue="1" operator="lessThan">
      <formula>-0.03</formula>
    </cfRule>
  </conditionalFormatting>
  <conditionalFormatting sqref="AQ75">
    <cfRule type="cellIs" dxfId="35" priority="155" operator="greaterThan">
      <formula>0.03</formula>
    </cfRule>
    <cfRule type="cellIs" dxfId="34" priority="156" stopIfTrue="1" operator="lessThan">
      <formula>-0.03</formula>
    </cfRule>
  </conditionalFormatting>
  <conditionalFormatting sqref="AP79">
    <cfRule type="cellIs" dxfId="33" priority="147" operator="greaterThan">
      <formula>0.03</formula>
    </cfRule>
    <cfRule type="cellIs" dxfId="32" priority="148" stopIfTrue="1" operator="lessThan">
      <formula>-0.03</formula>
    </cfRule>
  </conditionalFormatting>
  <conditionalFormatting sqref="AR79">
    <cfRule type="cellIs" dxfId="31" priority="143" operator="greaterThan">
      <formula>0.03</formula>
    </cfRule>
    <cfRule type="cellIs" dxfId="30" priority="144" stopIfTrue="1" operator="lessThan">
      <formula>-0.03</formula>
    </cfRule>
  </conditionalFormatting>
  <conditionalFormatting sqref="AP82:AQ82">
    <cfRule type="cellIs" dxfId="29" priority="141" operator="greaterThan">
      <formula>0.03</formula>
    </cfRule>
    <cfRule type="cellIs" dxfId="28" priority="142" stopIfTrue="1" operator="lessThan">
      <formula>-0.03</formula>
    </cfRule>
  </conditionalFormatting>
  <conditionalFormatting sqref="AM83:AO86">
    <cfRule type="cellIs" dxfId="27" priority="139" operator="greaterThan">
      <formula>0.03</formula>
    </cfRule>
    <cfRule type="cellIs" dxfId="26" priority="140" stopIfTrue="1" operator="lessThan">
      <formula>-0.03</formula>
    </cfRule>
  </conditionalFormatting>
  <conditionalFormatting sqref="AM79:AO82">
    <cfRule type="cellIs" dxfId="25" priority="149" operator="greaterThan">
      <formula>0.03</formula>
    </cfRule>
    <cfRule type="cellIs" dxfId="24" priority="150" stopIfTrue="1" operator="lessThan">
      <formula>-0.03</formula>
    </cfRule>
  </conditionalFormatting>
  <conditionalFormatting sqref="AP83">
    <cfRule type="cellIs" dxfId="23" priority="137" operator="greaterThan">
      <formula>0.03</formula>
    </cfRule>
    <cfRule type="cellIs" dxfId="22" priority="138" stopIfTrue="1" operator="lessThan">
      <formula>-0.03</formula>
    </cfRule>
  </conditionalFormatting>
  <conditionalFormatting sqref="AQ83">
    <cfRule type="cellIs" dxfId="21" priority="135" operator="greaterThan">
      <formula>0.03</formula>
    </cfRule>
    <cfRule type="cellIs" dxfId="20" priority="136" stopIfTrue="1" operator="lessThan">
      <formula>-0.03</formula>
    </cfRule>
  </conditionalFormatting>
  <conditionalFormatting sqref="Y107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9:X114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9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9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9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103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103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103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107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107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I452"/>
  <sheetViews>
    <sheetView zoomScaleNormal="100" workbookViewId="0"/>
  </sheetViews>
  <sheetFormatPr defaultColWidth="9" defaultRowHeight="14.25"/>
  <cols>
    <col min="1" max="1" width="112.625" customWidth="1"/>
  </cols>
  <sheetData>
    <row r="1" spans="1:9">
      <c r="A1" t="s">
        <v>93</v>
      </c>
      <c r="B1">
        <v>20967.220499999999</v>
      </c>
      <c r="C1">
        <v>41.819699999999997</v>
      </c>
      <c r="D1">
        <v>49.54</v>
      </c>
      <c r="E1">
        <v>48.251800000000003</v>
      </c>
      <c r="F1">
        <v>216452.82</v>
      </c>
      <c r="G1">
        <v>42.73</v>
      </c>
      <c r="H1">
        <v>1256.3</v>
      </c>
      <c r="I1">
        <v>0</v>
      </c>
    </row>
    <row r="2" spans="1:9">
      <c r="A2" t="s">
        <v>94</v>
      </c>
      <c r="B2">
        <v>6217.4675999999999</v>
      </c>
      <c r="C2">
        <v>40.291699999999999</v>
      </c>
      <c r="D2">
        <v>48.507199999999997</v>
      </c>
      <c r="E2">
        <v>46.607300000000002</v>
      </c>
      <c r="F2">
        <v>96387.63</v>
      </c>
      <c r="G2">
        <v>35.35</v>
      </c>
      <c r="H2">
        <v>1282.5</v>
      </c>
      <c r="I2">
        <v>0</v>
      </c>
    </row>
    <row r="3" spans="1:9">
      <c r="A3" t="s">
        <v>95</v>
      </c>
      <c r="B3">
        <v>3459.8822</v>
      </c>
      <c r="C3">
        <v>39.500300000000003</v>
      </c>
      <c r="D3">
        <v>47.472900000000003</v>
      </c>
      <c r="E3">
        <v>45.152799999999999</v>
      </c>
      <c r="F3">
        <v>53261.99</v>
      </c>
      <c r="G3">
        <v>32.14</v>
      </c>
      <c r="H3">
        <v>1286.98</v>
      </c>
      <c r="I3">
        <v>0</v>
      </c>
    </row>
    <row r="4" spans="1:9">
      <c r="A4" t="s">
        <v>96</v>
      </c>
      <c r="B4">
        <v>2085.2869999999998</v>
      </c>
      <c r="C4">
        <v>38.387999999999998</v>
      </c>
      <c r="D4">
        <v>46.550199999999997</v>
      </c>
      <c r="E4">
        <v>43.859000000000002</v>
      </c>
      <c r="F4">
        <v>33039.4</v>
      </c>
      <c r="G4">
        <v>29.36</v>
      </c>
      <c r="H4">
        <v>1257.25</v>
      </c>
      <c r="I4">
        <v>0</v>
      </c>
    </row>
    <row r="5" spans="1:9">
      <c r="A5" t="s">
        <v>97</v>
      </c>
      <c r="B5">
        <v>56702.126300000004</v>
      </c>
      <c r="C5">
        <v>46.089300000000001</v>
      </c>
      <c r="D5">
        <v>45.044800000000002</v>
      </c>
      <c r="E5">
        <v>43.5047</v>
      </c>
      <c r="F5">
        <v>203023.8</v>
      </c>
      <c r="G5">
        <v>46.29</v>
      </c>
      <c r="H5">
        <v>1127.47</v>
      </c>
      <c r="I5">
        <v>0</v>
      </c>
    </row>
    <row r="6" spans="1:9">
      <c r="A6" t="s">
        <v>98</v>
      </c>
      <c r="B6">
        <v>28011.255300000001</v>
      </c>
      <c r="C6">
        <v>41.9878</v>
      </c>
      <c r="D6">
        <v>43.082700000000003</v>
      </c>
      <c r="E6">
        <v>41.4206</v>
      </c>
      <c r="F6">
        <v>146052.03</v>
      </c>
      <c r="G6">
        <v>40.74</v>
      </c>
      <c r="H6">
        <v>1181.29</v>
      </c>
      <c r="I6">
        <v>0</v>
      </c>
    </row>
    <row r="7" spans="1:9">
      <c r="A7" t="s">
        <v>99</v>
      </c>
      <c r="B7">
        <v>14573.894700000001</v>
      </c>
      <c r="C7">
        <v>39.154499999999999</v>
      </c>
      <c r="D7">
        <v>41.567399999999999</v>
      </c>
      <c r="E7">
        <v>39.954300000000003</v>
      </c>
      <c r="F7">
        <v>91725.77</v>
      </c>
      <c r="G7">
        <v>36.39</v>
      </c>
      <c r="H7">
        <v>1142.72</v>
      </c>
      <c r="I7">
        <v>0</v>
      </c>
    </row>
    <row r="8" spans="1:9">
      <c r="A8" t="s">
        <v>100</v>
      </c>
      <c r="B8">
        <v>7885.95</v>
      </c>
      <c r="C8">
        <v>36.578600000000002</v>
      </c>
      <c r="D8">
        <v>40.431199999999997</v>
      </c>
      <c r="E8">
        <v>38.948700000000002</v>
      </c>
      <c r="F8">
        <v>56183.89</v>
      </c>
      <c r="G8">
        <v>33.96</v>
      </c>
      <c r="H8">
        <v>1222.57</v>
      </c>
      <c r="I8">
        <v>0</v>
      </c>
    </row>
    <row r="9" spans="1:9">
      <c r="A9" t="s">
        <v>101</v>
      </c>
      <c r="B9">
        <v>22748.448899999999</v>
      </c>
      <c r="C9">
        <v>42.802599999999998</v>
      </c>
      <c r="D9">
        <v>45.603400000000001</v>
      </c>
      <c r="E9">
        <v>44.623600000000003</v>
      </c>
      <c r="F9">
        <v>227499.86</v>
      </c>
      <c r="G9">
        <v>46.45</v>
      </c>
      <c r="H9">
        <v>1185.78</v>
      </c>
      <c r="I9">
        <v>0</v>
      </c>
    </row>
    <row r="10" spans="1:9">
      <c r="A10" t="s">
        <v>102</v>
      </c>
      <c r="B10">
        <v>7698.7950000000001</v>
      </c>
      <c r="C10">
        <v>39.113900000000001</v>
      </c>
      <c r="D10">
        <v>42.136200000000002</v>
      </c>
      <c r="E10">
        <v>42.559600000000003</v>
      </c>
      <c r="F10">
        <v>125831.24</v>
      </c>
      <c r="G10">
        <v>35.74</v>
      </c>
      <c r="H10">
        <v>1179.48</v>
      </c>
      <c r="I10">
        <v>0</v>
      </c>
    </row>
    <row r="11" spans="1:9">
      <c r="A11" t="s">
        <v>103</v>
      </c>
      <c r="B11">
        <v>3241.9373999999998</v>
      </c>
      <c r="C11">
        <v>37.443199999999997</v>
      </c>
      <c r="D11">
        <v>39.571599999999997</v>
      </c>
      <c r="E11">
        <v>41.036700000000003</v>
      </c>
      <c r="F11">
        <v>67507.55</v>
      </c>
      <c r="G11">
        <v>30.75</v>
      </c>
      <c r="H11">
        <v>1181.3399999999999</v>
      </c>
      <c r="I11">
        <v>0</v>
      </c>
    </row>
    <row r="12" spans="1:9">
      <c r="A12" t="s">
        <v>104</v>
      </c>
      <c r="B12">
        <v>1757.5816</v>
      </c>
      <c r="C12">
        <v>36.051099999999998</v>
      </c>
      <c r="D12">
        <v>37.673699999999997</v>
      </c>
      <c r="E12">
        <v>39.601199999999999</v>
      </c>
      <c r="F12">
        <v>36931.870000000003</v>
      </c>
      <c r="G12">
        <v>27.73</v>
      </c>
      <c r="H12">
        <v>1184.49</v>
      </c>
      <c r="I12">
        <v>0</v>
      </c>
    </row>
    <row r="13" spans="1:9">
      <c r="A13" t="s">
        <v>105</v>
      </c>
      <c r="B13">
        <v>50702.016300000003</v>
      </c>
      <c r="C13">
        <v>43.962000000000003</v>
      </c>
      <c r="D13">
        <v>47.787599999999998</v>
      </c>
      <c r="E13">
        <v>44.186799999999998</v>
      </c>
      <c r="F13">
        <v>281987.57</v>
      </c>
      <c r="G13">
        <v>51.05</v>
      </c>
      <c r="H13">
        <v>1273.9100000000001</v>
      </c>
      <c r="I13">
        <v>0</v>
      </c>
    </row>
    <row r="14" spans="1:9">
      <c r="A14" t="s">
        <v>106</v>
      </c>
      <c r="B14">
        <v>28143.345799999999</v>
      </c>
      <c r="C14">
        <v>40.631799999999998</v>
      </c>
      <c r="D14">
        <v>45.6038</v>
      </c>
      <c r="E14">
        <v>41.580599999999997</v>
      </c>
      <c r="F14">
        <v>207552.91</v>
      </c>
      <c r="G14">
        <v>45.76</v>
      </c>
      <c r="H14">
        <v>1249.67</v>
      </c>
      <c r="I14">
        <v>0</v>
      </c>
    </row>
    <row r="15" spans="1:9">
      <c r="A15" t="s">
        <v>107</v>
      </c>
      <c r="B15">
        <v>15655.11</v>
      </c>
      <c r="C15">
        <v>37.471499999999999</v>
      </c>
      <c r="D15">
        <v>44.557499999999997</v>
      </c>
      <c r="E15">
        <v>40.254100000000001</v>
      </c>
      <c r="F15">
        <v>150511.28</v>
      </c>
      <c r="G15">
        <v>40.200000000000003</v>
      </c>
      <c r="H15">
        <v>1288.3499999999999</v>
      </c>
      <c r="I15">
        <v>0</v>
      </c>
    </row>
    <row r="16" spans="1:9">
      <c r="A16" t="s">
        <v>108</v>
      </c>
      <c r="B16">
        <v>8271.5984000000008</v>
      </c>
      <c r="C16">
        <v>34.4056</v>
      </c>
      <c r="D16">
        <v>43.869100000000003</v>
      </c>
      <c r="E16">
        <v>39.557299999999998</v>
      </c>
      <c r="F16">
        <v>98970.9</v>
      </c>
      <c r="G16">
        <v>37.21</v>
      </c>
      <c r="H16">
        <v>1244.6300000000001</v>
      </c>
      <c r="I16">
        <v>0</v>
      </c>
    </row>
    <row r="17" spans="1:9">
      <c r="A17" t="s">
        <v>109</v>
      </c>
      <c r="B17">
        <v>35331.044199999997</v>
      </c>
      <c r="C17">
        <v>42.526800000000001</v>
      </c>
      <c r="D17">
        <v>42.546900000000001</v>
      </c>
      <c r="E17">
        <v>44.165700000000001</v>
      </c>
      <c r="F17">
        <v>210667.51999999999</v>
      </c>
      <c r="G17">
        <v>47.53</v>
      </c>
      <c r="H17">
        <v>1225.95</v>
      </c>
      <c r="I17">
        <v>0</v>
      </c>
    </row>
    <row r="18" spans="1:9">
      <c r="A18" t="s">
        <v>110</v>
      </c>
      <c r="B18">
        <v>11994.57</v>
      </c>
      <c r="C18">
        <v>39.979199999999999</v>
      </c>
      <c r="D18">
        <v>41.476799999999997</v>
      </c>
      <c r="E18">
        <v>42.506999999999998</v>
      </c>
      <c r="F18">
        <v>114000.25</v>
      </c>
      <c r="G18">
        <v>36.25</v>
      </c>
      <c r="H18">
        <v>1196.97</v>
      </c>
      <c r="I18">
        <v>0</v>
      </c>
    </row>
    <row r="19" spans="1:9">
      <c r="A19" t="s">
        <v>111</v>
      </c>
      <c r="B19">
        <v>6923.3573999999999</v>
      </c>
      <c r="C19">
        <v>38.645499999999998</v>
      </c>
      <c r="D19">
        <v>40.655799999999999</v>
      </c>
      <c r="E19">
        <v>41.046399999999998</v>
      </c>
      <c r="F19">
        <v>69098.06</v>
      </c>
      <c r="G19">
        <v>33.68</v>
      </c>
      <c r="H19">
        <v>1176.24</v>
      </c>
      <c r="I19">
        <v>0</v>
      </c>
    </row>
    <row r="20" spans="1:9">
      <c r="A20" t="s">
        <v>112</v>
      </c>
      <c r="B20">
        <v>4145.0037000000002</v>
      </c>
      <c r="C20">
        <v>36.823500000000003</v>
      </c>
      <c r="D20">
        <v>39.907400000000003</v>
      </c>
      <c r="E20">
        <v>39.791899999999998</v>
      </c>
      <c r="F20">
        <v>45407.72</v>
      </c>
      <c r="G20">
        <v>29.56</v>
      </c>
      <c r="H20">
        <v>1211.07</v>
      </c>
      <c r="I20">
        <v>0</v>
      </c>
    </row>
    <row r="21" spans="1:9">
      <c r="A21" t="s">
        <v>113</v>
      </c>
      <c r="B21">
        <v>14126.876099999999</v>
      </c>
      <c r="C21">
        <v>40.929499999999997</v>
      </c>
      <c r="D21">
        <v>47.427900000000001</v>
      </c>
      <c r="E21">
        <v>47.0441</v>
      </c>
      <c r="F21">
        <v>229652.94</v>
      </c>
      <c r="G21">
        <v>43.8</v>
      </c>
      <c r="H21">
        <v>1112.74</v>
      </c>
      <c r="I21">
        <v>0</v>
      </c>
    </row>
    <row r="22" spans="1:9">
      <c r="A22" t="s">
        <v>114</v>
      </c>
      <c r="B22">
        <v>5423.5910999999996</v>
      </c>
      <c r="C22">
        <v>39.318199999999997</v>
      </c>
      <c r="D22">
        <v>45.602800000000002</v>
      </c>
      <c r="E22">
        <v>45.466000000000001</v>
      </c>
      <c r="F22">
        <v>115459.96</v>
      </c>
      <c r="G22">
        <v>36.07</v>
      </c>
      <c r="H22">
        <v>1184.19</v>
      </c>
      <c r="I22">
        <v>0</v>
      </c>
    </row>
    <row r="23" spans="1:9">
      <c r="A23" t="s">
        <v>115</v>
      </c>
      <c r="B23">
        <v>2735.2941999999998</v>
      </c>
      <c r="C23">
        <v>37.9895</v>
      </c>
      <c r="D23">
        <v>44.151000000000003</v>
      </c>
      <c r="E23">
        <v>44.031300000000002</v>
      </c>
      <c r="F23">
        <v>67836.160000000003</v>
      </c>
      <c r="G23">
        <v>32.049999999999997</v>
      </c>
      <c r="H23">
        <v>1200.02</v>
      </c>
      <c r="I23">
        <v>0</v>
      </c>
    </row>
    <row r="24" spans="1:9">
      <c r="A24" t="s">
        <v>116</v>
      </c>
      <c r="B24">
        <v>1441.8379</v>
      </c>
      <c r="C24">
        <v>36.388300000000001</v>
      </c>
      <c r="D24">
        <v>43.116</v>
      </c>
      <c r="E24">
        <v>42.901400000000002</v>
      </c>
      <c r="F24">
        <v>40416.660000000003</v>
      </c>
      <c r="G24">
        <v>30.66</v>
      </c>
      <c r="H24">
        <v>1190.82</v>
      </c>
      <c r="I24">
        <v>0</v>
      </c>
    </row>
    <row r="25" spans="1:9">
      <c r="A25" t="s">
        <v>117</v>
      </c>
      <c r="B25">
        <v>56020.6342</v>
      </c>
      <c r="C25">
        <v>41.390999999999998</v>
      </c>
      <c r="D25">
        <v>46.601999999999997</v>
      </c>
      <c r="E25">
        <v>44.720799999999997</v>
      </c>
      <c r="F25">
        <v>314643.92</v>
      </c>
      <c r="G25">
        <v>52.72</v>
      </c>
      <c r="H25">
        <v>1214.43</v>
      </c>
      <c r="I25">
        <v>0</v>
      </c>
    </row>
    <row r="26" spans="1:9">
      <c r="A26" t="s">
        <v>118</v>
      </c>
      <c r="B26">
        <v>12437.246800000001</v>
      </c>
      <c r="C26">
        <v>37.891500000000001</v>
      </c>
      <c r="D26">
        <v>45.142499999999998</v>
      </c>
      <c r="E26">
        <v>42.967300000000002</v>
      </c>
      <c r="F26">
        <v>134338.03</v>
      </c>
      <c r="G26">
        <v>35.03</v>
      </c>
      <c r="H26">
        <v>1195.1500000000001</v>
      </c>
      <c r="I26">
        <v>0</v>
      </c>
    </row>
    <row r="27" spans="1:9">
      <c r="A27" t="s">
        <v>119</v>
      </c>
      <c r="B27">
        <v>6639.3425999999999</v>
      </c>
      <c r="C27">
        <v>36.878</v>
      </c>
      <c r="D27">
        <v>43.831200000000003</v>
      </c>
      <c r="E27">
        <v>41.467500000000001</v>
      </c>
      <c r="F27">
        <v>77316.83</v>
      </c>
      <c r="G27">
        <v>33.49</v>
      </c>
      <c r="H27">
        <v>1149.51</v>
      </c>
      <c r="I27">
        <v>0</v>
      </c>
    </row>
    <row r="28" spans="1:9">
      <c r="A28" t="s">
        <v>120</v>
      </c>
      <c r="B28">
        <v>3717.3946999999998</v>
      </c>
      <c r="C28">
        <v>35.476799999999997</v>
      </c>
      <c r="D28">
        <v>42.804000000000002</v>
      </c>
      <c r="E28">
        <v>40.380099999999999</v>
      </c>
      <c r="F28">
        <v>48150.02</v>
      </c>
      <c r="G28">
        <v>29.49</v>
      </c>
      <c r="H28">
        <v>1226.33</v>
      </c>
      <c r="I28">
        <v>0</v>
      </c>
    </row>
    <row r="29" spans="1:9">
      <c r="A29" t="s">
        <v>121</v>
      </c>
      <c r="B29">
        <v>12862.0026</v>
      </c>
      <c r="C29">
        <v>47.3215</v>
      </c>
      <c r="D29">
        <v>48.8504</v>
      </c>
      <c r="E29">
        <v>47.497599999999998</v>
      </c>
      <c r="F29">
        <v>108102.37</v>
      </c>
      <c r="G29">
        <v>39.07</v>
      </c>
      <c r="H29">
        <v>1256.71</v>
      </c>
      <c r="I29">
        <v>0</v>
      </c>
    </row>
    <row r="30" spans="1:9">
      <c r="A30" t="s">
        <v>122</v>
      </c>
      <c r="B30">
        <v>6750.6584000000003</v>
      </c>
      <c r="C30">
        <v>45.237900000000003</v>
      </c>
      <c r="D30">
        <v>46.614100000000001</v>
      </c>
      <c r="E30">
        <v>45.321800000000003</v>
      </c>
      <c r="F30">
        <v>71746.539999999994</v>
      </c>
      <c r="G30">
        <v>35.89</v>
      </c>
      <c r="H30">
        <v>1281.54</v>
      </c>
      <c r="I30">
        <v>0</v>
      </c>
    </row>
    <row r="31" spans="1:9">
      <c r="A31" t="s">
        <v>123</v>
      </c>
      <c r="B31">
        <v>3931.8126000000002</v>
      </c>
      <c r="C31">
        <v>43.011499999999998</v>
      </c>
      <c r="D31">
        <v>44.777799999999999</v>
      </c>
      <c r="E31">
        <v>43.941699999999997</v>
      </c>
      <c r="F31">
        <v>47745.29</v>
      </c>
      <c r="G31">
        <v>32.56</v>
      </c>
      <c r="H31">
        <v>1290.6600000000001</v>
      </c>
      <c r="I31">
        <v>0</v>
      </c>
    </row>
    <row r="32" spans="1:9">
      <c r="A32" t="s">
        <v>124</v>
      </c>
      <c r="B32">
        <v>2320.02</v>
      </c>
      <c r="C32">
        <v>40.466200000000001</v>
      </c>
      <c r="D32">
        <v>43.270499999999998</v>
      </c>
      <c r="E32">
        <v>42.892200000000003</v>
      </c>
      <c r="F32">
        <v>31621.42</v>
      </c>
      <c r="G32">
        <v>31.74</v>
      </c>
      <c r="H32">
        <v>1255.73</v>
      </c>
      <c r="I32">
        <v>0</v>
      </c>
    </row>
    <row r="33" spans="1:9">
      <c r="A33" t="s">
        <v>125</v>
      </c>
      <c r="B33">
        <v>2512.9488000000001</v>
      </c>
      <c r="C33">
        <v>43.051900000000003</v>
      </c>
      <c r="D33">
        <v>44.5261</v>
      </c>
      <c r="E33">
        <v>45.997599999999998</v>
      </c>
      <c r="F33">
        <v>34957.599999999999</v>
      </c>
      <c r="G33">
        <v>8.1</v>
      </c>
      <c r="H33">
        <v>355.41</v>
      </c>
      <c r="I33">
        <v>0</v>
      </c>
    </row>
    <row r="34" spans="1:9">
      <c r="A34" t="s">
        <v>126</v>
      </c>
      <c r="B34">
        <v>1369.5871999999999</v>
      </c>
      <c r="C34">
        <v>41.457999999999998</v>
      </c>
      <c r="D34">
        <v>42.827599999999997</v>
      </c>
      <c r="E34">
        <v>43.664999999999999</v>
      </c>
      <c r="F34">
        <v>23127.7</v>
      </c>
      <c r="G34">
        <v>7.23</v>
      </c>
      <c r="H34">
        <v>395.51</v>
      </c>
      <c r="I34">
        <v>0</v>
      </c>
    </row>
    <row r="35" spans="1:9">
      <c r="A35" t="s">
        <v>127</v>
      </c>
      <c r="B35">
        <v>781.62720000000002</v>
      </c>
      <c r="C35">
        <v>39.4621</v>
      </c>
      <c r="D35">
        <v>41.477899999999998</v>
      </c>
      <c r="E35">
        <v>42.133099999999999</v>
      </c>
      <c r="F35">
        <v>16552.96</v>
      </c>
      <c r="G35">
        <v>6.75</v>
      </c>
      <c r="H35">
        <v>395.81</v>
      </c>
      <c r="I35">
        <v>0</v>
      </c>
    </row>
    <row r="36" spans="1:9">
      <c r="A36" t="s">
        <v>128</v>
      </c>
      <c r="B36">
        <v>442.46879999999999</v>
      </c>
      <c r="C36">
        <v>37.032400000000003</v>
      </c>
      <c r="D36">
        <v>40.510199999999998</v>
      </c>
      <c r="E36">
        <v>41.228700000000003</v>
      </c>
      <c r="F36">
        <v>10875.08</v>
      </c>
      <c r="G36">
        <v>6.64</v>
      </c>
      <c r="H36">
        <v>375.03</v>
      </c>
      <c r="I36">
        <v>0</v>
      </c>
    </row>
    <row r="37" spans="1:9">
      <c r="A37" t="s">
        <v>129</v>
      </c>
      <c r="B37">
        <v>6207.2071999999998</v>
      </c>
      <c r="C37">
        <v>42.299300000000002</v>
      </c>
      <c r="D37">
        <v>43.447299999999998</v>
      </c>
      <c r="E37">
        <v>44.023099999999999</v>
      </c>
      <c r="F37">
        <v>57761.56</v>
      </c>
      <c r="G37">
        <v>11.21</v>
      </c>
      <c r="H37">
        <v>390</v>
      </c>
      <c r="I37">
        <v>0</v>
      </c>
    </row>
    <row r="38" spans="1:9">
      <c r="A38" t="s">
        <v>130</v>
      </c>
      <c r="B38">
        <v>3383.5511999999999</v>
      </c>
      <c r="C38">
        <v>39.267299999999999</v>
      </c>
      <c r="D38">
        <v>41.125500000000002</v>
      </c>
      <c r="E38">
        <v>41.283099999999997</v>
      </c>
      <c r="F38">
        <v>41256.080000000002</v>
      </c>
      <c r="G38">
        <v>9.0500000000000007</v>
      </c>
      <c r="H38">
        <v>377.65</v>
      </c>
      <c r="I38">
        <v>0</v>
      </c>
    </row>
    <row r="39" spans="1:9">
      <c r="A39" t="s">
        <v>131</v>
      </c>
      <c r="B39">
        <v>1775.4208000000001</v>
      </c>
      <c r="C39">
        <v>36.2303</v>
      </c>
      <c r="D39">
        <v>39.313400000000001</v>
      </c>
      <c r="E39">
        <v>39.728999999999999</v>
      </c>
      <c r="F39">
        <v>29425.82</v>
      </c>
      <c r="G39">
        <v>7.93</v>
      </c>
      <c r="H39">
        <v>402.65</v>
      </c>
      <c r="I39">
        <v>0</v>
      </c>
    </row>
    <row r="40" spans="1:9">
      <c r="A40" t="s">
        <v>132</v>
      </c>
      <c r="B40">
        <v>887.69359999999995</v>
      </c>
      <c r="C40">
        <v>33.353700000000003</v>
      </c>
      <c r="D40">
        <v>38.066299999999998</v>
      </c>
      <c r="E40">
        <v>38.974899999999998</v>
      </c>
      <c r="F40">
        <v>18581.03</v>
      </c>
      <c r="G40">
        <v>6.67</v>
      </c>
      <c r="H40">
        <v>369.72</v>
      </c>
      <c r="I40">
        <v>0</v>
      </c>
    </row>
    <row r="41" spans="1:9">
      <c r="A41" t="s">
        <v>133</v>
      </c>
      <c r="B41">
        <v>13166.550800000001</v>
      </c>
      <c r="C41">
        <v>41.3142</v>
      </c>
      <c r="D41">
        <v>41.531199999999998</v>
      </c>
      <c r="E41">
        <v>44.346899999999998</v>
      </c>
      <c r="F41">
        <v>127358.38</v>
      </c>
      <c r="G41">
        <v>22.99</v>
      </c>
      <c r="H41">
        <v>372.79</v>
      </c>
      <c r="I41">
        <v>0</v>
      </c>
    </row>
    <row r="42" spans="1:9">
      <c r="A42" t="s">
        <v>134</v>
      </c>
      <c r="B42">
        <v>5717.5968000000003</v>
      </c>
      <c r="C42">
        <v>38.3994</v>
      </c>
      <c r="D42">
        <v>39.6</v>
      </c>
      <c r="E42">
        <v>42.369700000000002</v>
      </c>
      <c r="F42">
        <v>78005.89</v>
      </c>
      <c r="G42">
        <v>18</v>
      </c>
      <c r="H42">
        <v>379.69</v>
      </c>
      <c r="I42">
        <v>0</v>
      </c>
    </row>
    <row r="43" spans="1:9">
      <c r="A43" t="s">
        <v>135</v>
      </c>
      <c r="B43">
        <v>3086.181</v>
      </c>
      <c r="C43">
        <v>36.2684</v>
      </c>
      <c r="D43">
        <v>38.597499999999997</v>
      </c>
      <c r="E43">
        <v>40.727600000000002</v>
      </c>
      <c r="F43">
        <v>51115.73</v>
      </c>
      <c r="G43">
        <v>15.84</v>
      </c>
      <c r="H43">
        <v>386.58</v>
      </c>
      <c r="I43">
        <v>0</v>
      </c>
    </row>
    <row r="44" spans="1:9">
      <c r="A44" t="s">
        <v>136</v>
      </c>
      <c r="B44">
        <v>1682.8476000000001</v>
      </c>
      <c r="C44">
        <v>33.930399999999999</v>
      </c>
      <c r="D44">
        <v>37.793300000000002</v>
      </c>
      <c r="E44">
        <v>39.469900000000003</v>
      </c>
      <c r="F44">
        <v>33487.4</v>
      </c>
      <c r="G44">
        <v>14.62</v>
      </c>
      <c r="H44">
        <v>363.17</v>
      </c>
      <c r="I44">
        <v>0</v>
      </c>
    </row>
    <row r="45" spans="1:9">
      <c r="A45" t="s">
        <v>137</v>
      </c>
      <c r="B45">
        <v>8511.9984000000004</v>
      </c>
      <c r="C45">
        <v>41.644199999999998</v>
      </c>
      <c r="D45">
        <v>44.65</v>
      </c>
      <c r="E45">
        <v>46.490400000000001</v>
      </c>
      <c r="F45">
        <v>107316.87</v>
      </c>
      <c r="G45">
        <v>19.89</v>
      </c>
      <c r="H45">
        <v>394.55</v>
      </c>
      <c r="I45">
        <v>0</v>
      </c>
    </row>
    <row r="46" spans="1:9">
      <c r="A46" t="s">
        <v>138</v>
      </c>
      <c r="B46">
        <v>3425.5421000000001</v>
      </c>
      <c r="C46">
        <v>39.148699999999998</v>
      </c>
      <c r="D46">
        <v>43.304299999999998</v>
      </c>
      <c r="E46">
        <v>44.433700000000002</v>
      </c>
      <c r="F46">
        <v>62967.62</v>
      </c>
      <c r="G46">
        <v>17.37</v>
      </c>
      <c r="H46">
        <v>397.51</v>
      </c>
      <c r="I46">
        <v>0</v>
      </c>
    </row>
    <row r="47" spans="1:9">
      <c r="A47" t="s">
        <v>139</v>
      </c>
      <c r="B47">
        <v>1750.4332999999999</v>
      </c>
      <c r="C47">
        <v>37.462899999999998</v>
      </c>
      <c r="D47">
        <v>41.991900000000001</v>
      </c>
      <c r="E47">
        <v>42.540500000000002</v>
      </c>
      <c r="F47">
        <v>36693.660000000003</v>
      </c>
      <c r="G47">
        <v>15.05</v>
      </c>
      <c r="H47">
        <v>390.19</v>
      </c>
      <c r="I47">
        <v>0</v>
      </c>
    </row>
    <row r="48" spans="1:9">
      <c r="A48" t="s">
        <v>140</v>
      </c>
      <c r="B48">
        <v>977.36900000000003</v>
      </c>
      <c r="C48">
        <v>35.629800000000003</v>
      </c>
      <c r="D48">
        <v>40.918300000000002</v>
      </c>
      <c r="E48">
        <v>41.038200000000003</v>
      </c>
      <c r="F48">
        <v>22296.16</v>
      </c>
      <c r="G48">
        <v>12.7</v>
      </c>
      <c r="H48">
        <v>388.92</v>
      </c>
      <c r="I48">
        <v>0</v>
      </c>
    </row>
    <row r="49" spans="1:9">
      <c r="A49" t="s">
        <v>141</v>
      </c>
      <c r="B49">
        <v>21372.497599999999</v>
      </c>
      <c r="C49">
        <v>42.7136</v>
      </c>
      <c r="D49">
        <v>42.774500000000003</v>
      </c>
      <c r="E49">
        <v>44.759099999999997</v>
      </c>
      <c r="F49">
        <v>142638.62</v>
      </c>
      <c r="G49">
        <v>27.22</v>
      </c>
      <c r="H49">
        <v>382.77</v>
      </c>
      <c r="I49">
        <v>0</v>
      </c>
    </row>
    <row r="50" spans="1:9">
      <c r="A50" t="s">
        <v>142</v>
      </c>
      <c r="B50">
        <v>9567.6144000000004</v>
      </c>
      <c r="C50">
        <v>37.569800000000001</v>
      </c>
      <c r="D50">
        <v>41.008699999999997</v>
      </c>
      <c r="E50">
        <v>43.416600000000003</v>
      </c>
      <c r="F50">
        <v>107168.76</v>
      </c>
      <c r="G50">
        <v>22.34</v>
      </c>
      <c r="H50">
        <v>371.67</v>
      </c>
      <c r="I50">
        <v>0</v>
      </c>
    </row>
    <row r="51" spans="1:9">
      <c r="A51" t="s">
        <v>143</v>
      </c>
      <c r="B51">
        <v>4704.9880000000003</v>
      </c>
      <c r="C51">
        <v>35.029299999999999</v>
      </c>
      <c r="D51">
        <v>39.590899999999998</v>
      </c>
      <c r="E51">
        <v>42.3003</v>
      </c>
      <c r="F51">
        <v>67287.09</v>
      </c>
      <c r="G51">
        <v>18.96</v>
      </c>
      <c r="H51">
        <v>393.96</v>
      </c>
      <c r="I51">
        <v>0</v>
      </c>
    </row>
    <row r="52" spans="1:9">
      <c r="A52" t="s">
        <v>144</v>
      </c>
      <c r="B52">
        <v>2504.0544</v>
      </c>
      <c r="C52">
        <v>32.705399999999997</v>
      </c>
      <c r="D52">
        <v>38.626199999999997</v>
      </c>
      <c r="E52">
        <v>41.516199999999998</v>
      </c>
      <c r="F52">
        <v>44571.11</v>
      </c>
      <c r="G52">
        <v>16.63</v>
      </c>
      <c r="H52">
        <v>379.97</v>
      </c>
      <c r="I52">
        <v>0</v>
      </c>
    </row>
    <row r="53" spans="1:9">
      <c r="A53" t="s">
        <v>145</v>
      </c>
      <c r="B53">
        <v>2329.1111000000001</v>
      </c>
      <c r="C53">
        <v>42.634900000000002</v>
      </c>
      <c r="D53">
        <v>44.205300000000001</v>
      </c>
      <c r="E53">
        <v>45.035600000000002</v>
      </c>
      <c r="F53">
        <v>24499.53</v>
      </c>
      <c r="G53">
        <v>5.86</v>
      </c>
      <c r="H53">
        <v>136.15</v>
      </c>
      <c r="I53">
        <v>0</v>
      </c>
    </row>
    <row r="54" spans="1:9">
      <c r="A54" t="s">
        <v>146</v>
      </c>
      <c r="B54">
        <v>1255.1824999999999</v>
      </c>
      <c r="C54">
        <v>39.271599999999999</v>
      </c>
      <c r="D54">
        <v>41.842500000000001</v>
      </c>
      <c r="E54">
        <v>42.436799999999998</v>
      </c>
      <c r="F54">
        <v>18338.96</v>
      </c>
      <c r="G54">
        <v>4.8099999999999996</v>
      </c>
      <c r="H54">
        <v>156.57</v>
      </c>
      <c r="I54">
        <v>0</v>
      </c>
    </row>
    <row r="55" spans="1:9">
      <c r="A55" t="s">
        <v>147</v>
      </c>
      <c r="B55">
        <v>675.92219999999998</v>
      </c>
      <c r="C55">
        <v>36.267200000000003</v>
      </c>
      <c r="D55">
        <v>39.9529</v>
      </c>
      <c r="E55">
        <v>40.352200000000003</v>
      </c>
      <c r="F55">
        <v>13350.45</v>
      </c>
      <c r="G55">
        <v>4.29</v>
      </c>
      <c r="H55">
        <v>151.85</v>
      </c>
      <c r="I55">
        <v>0</v>
      </c>
    </row>
    <row r="56" spans="1:9">
      <c r="A56" t="s">
        <v>148</v>
      </c>
      <c r="B56">
        <v>379.29919999999998</v>
      </c>
      <c r="C56">
        <v>33.625900000000001</v>
      </c>
      <c r="D56">
        <v>38.450499999999998</v>
      </c>
      <c r="E56">
        <v>38.64</v>
      </c>
      <c r="F56">
        <v>8368.85</v>
      </c>
      <c r="G56">
        <v>3.78</v>
      </c>
      <c r="H56">
        <v>140.22</v>
      </c>
      <c r="I56">
        <v>0</v>
      </c>
    </row>
    <row r="57" spans="1:9">
      <c r="A57" t="s">
        <v>149</v>
      </c>
      <c r="B57">
        <v>2722.4848000000002</v>
      </c>
      <c r="C57">
        <v>42.508499999999998</v>
      </c>
      <c r="D57">
        <v>44.457500000000003</v>
      </c>
      <c r="E57">
        <v>46.179499999999997</v>
      </c>
      <c r="F57">
        <v>30910.77</v>
      </c>
      <c r="G57">
        <v>6.83</v>
      </c>
      <c r="H57">
        <v>160.13999999999999</v>
      </c>
      <c r="I57">
        <v>0</v>
      </c>
    </row>
    <row r="58" spans="1:9">
      <c r="A58" t="s">
        <v>150</v>
      </c>
      <c r="B58">
        <v>1635.6695999999999</v>
      </c>
      <c r="C58">
        <v>39.771000000000001</v>
      </c>
      <c r="D58">
        <v>42.297800000000002</v>
      </c>
      <c r="E58">
        <v>43.743099999999998</v>
      </c>
      <c r="F58">
        <v>23648.35</v>
      </c>
      <c r="G58">
        <v>5.42</v>
      </c>
      <c r="H58">
        <v>157.06</v>
      </c>
      <c r="I58">
        <v>0</v>
      </c>
    </row>
    <row r="59" spans="1:9">
      <c r="A59" t="s">
        <v>151</v>
      </c>
      <c r="B59">
        <v>969.91759999999999</v>
      </c>
      <c r="C59">
        <v>36.788400000000003</v>
      </c>
      <c r="D59">
        <v>40.4313</v>
      </c>
      <c r="E59">
        <v>41.641199999999998</v>
      </c>
      <c r="F59">
        <v>17514.16</v>
      </c>
      <c r="G59">
        <v>4.87</v>
      </c>
      <c r="H59">
        <v>159.57</v>
      </c>
      <c r="I59">
        <v>0</v>
      </c>
    </row>
    <row r="60" spans="1:9">
      <c r="A60" t="s">
        <v>152</v>
      </c>
      <c r="B60">
        <v>558.78</v>
      </c>
      <c r="C60">
        <v>33.7288</v>
      </c>
      <c r="D60">
        <v>39.0124</v>
      </c>
      <c r="E60">
        <v>40.033200000000001</v>
      </c>
      <c r="F60">
        <v>12408.75</v>
      </c>
      <c r="G60">
        <v>4.3</v>
      </c>
      <c r="H60">
        <v>131.59</v>
      </c>
      <c r="I60">
        <v>0</v>
      </c>
    </row>
    <row r="61" spans="1:9">
      <c r="A61" t="s">
        <v>153</v>
      </c>
      <c r="B61">
        <v>5248.0810000000001</v>
      </c>
      <c r="C61">
        <v>41.847200000000001</v>
      </c>
      <c r="D61">
        <v>42.828200000000002</v>
      </c>
      <c r="E61">
        <v>43.952800000000003</v>
      </c>
      <c r="F61">
        <v>36749.03</v>
      </c>
      <c r="G61">
        <v>7.76</v>
      </c>
      <c r="H61">
        <v>155.93</v>
      </c>
      <c r="I61">
        <v>0</v>
      </c>
    </row>
    <row r="62" spans="1:9">
      <c r="A62" t="s">
        <v>154</v>
      </c>
      <c r="B62">
        <v>3269.4865</v>
      </c>
      <c r="C62">
        <v>37.601199999999999</v>
      </c>
      <c r="D62">
        <v>39.970700000000001</v>
      </c>
      <c r="E62">
        <v>40.9178</v>
      </c>
      <c r="F62">
        <v>30293.47</v>
      </c>
      <c r="G62">
        <v>6.38</v>
      </c>
      <c r="H62">
        <v>140.35</v>
      </c>
      <c r="I62">
        <v>0</v>
      </c>
    </row>
    <row r="63" spans="1:9">
      <c r="A63" t="s">
        <v>155</v>
      </c>
      <c r="B63">
        <v>1966.3761999999999</v>
      </c>
      <c r="C63">
        <v>33.817399999999999</v>
      </c>
      <c r="D63">
        <v>37.918999999999997</v>
      </c>
      <c r="E63">
        <v>38.663400000000003</v>
      </c>
      <c r="F63">
        <v>24392.69</v>
      </c>
      <c r="G63">
        <v>5.47</v>
      </c>
      <c r="H63">
        <v>158.88</v>
      </c>
      <c r="I63">
        <v>0</v>
      </c>
    </row>
    <row r="64" spans="1:9">
      <c r="A64" t="s">
        <v>156</v>
      </c>
      <c r="B64">
        <v>1082.6197999999999</v>
      </c>
      <c r="C64">
        <v>30.1343</v>
      </c>
      <c r="D64">
        <v>36.428199999999997</v>
      </c>
      <c r="E64">
        <v>37.038600000000002</v>
      </c>
      <c r="F64">
        <v>18325.650000000001</v>
      </c>
      <c r="G64">
        <v>4.3099999999999996</v>
      </c>
      <c r="H64">
        <v>161.75</v>
      </c>
      <c r="I64">
        <v>0</v>
      </c>
    </row>
    <row r="65" spans="1:9">
      <c r="A65" t="s">
        <v>157</v>
      </c>
      <c r="B65">
        <v>1786.1882000000001</v>
      </c>
      <c r="C65">
        <v>43.006300000000003</v>
      </c>
      <c r="D65">
        <v>43.522799999999997</v>
      </c>
      <c r="E65">
        <v>44.465899999999998</v>
      </c>
      <c r="F65">
        <v>17445.150000000001</v>
      </c>
      <c r="G65">
        <v>3.5</v>
      </c>
      <c r="H65">
        <v>156.38</v>
      </c>
      <c r="I65">
        <v>0</v>
      </c>
    </row>
    <row r="66" spans="1:9">
      <c r="A66" t="s">
        <v>158</v>
      </c>
      <c r="B66">
        <v>1074.4649999999999</v>
      </c>
      <c r="C66">
        <v>39.650399999999998</v>
      </c>
      <c r="D66">
        <v>40.3688</v>
      </c>
      <c r="E66">
        <v>41.974400000000003</v>
      </c>
      <c r="F66">
        <v>13399.44</v>
      </c>
      <c r="G66">
        <v>3.09</v>
      </c>
      <c r="H66">
        <v>158.59</v>
      </c>
      <c r="I66">
        <v>0</v>
      </c>
    </row>
    <row r="67" spans="1:9">
      <c r="A67" t="s">
        <v>159</v>
      </c>
      <c r="B67">
        <v>621.60950000000003</v>
      </c>
      <c r="C67">
        <v>36.283000000000001</v>
      </c>
      <c r="D67">
        <v>38.141100000000002</v>
      </c>
      <c r="E67">
        <v>40.178800000000003</v>
      </c>
      <c r="F67">
        <v>10393.379999999999</v>
      </c>
      <c r="G67">
        <v>2.91</v>
      </c>
      <c r="H67">
        <v>154.46</v>
      </c>
      <c r="I67">
        <v>0</v>
      </c>
    </row>
    <row r="68" spans="1:9">
      <c r="A68" t="s">
        <v>160</v>
      </c>
      <c r="B68">
        <v>321.96159999999998</v>
      </c>
      <c r="C68">
        <v>32.845199999999998</v>
      </c>
      <c r="D68">
        <v>36.837200000000003</v>
      </c>
      <c r="E68">
        <v>38.854399999999998</v>
      </c>
      <c r="F68">
        <v>6643.35</v>
      </c>
      <c r="G68">
        <v>2.27</v>
      </c>
      <c r="H68">
        <v>163.52000000000001</v>
      </c>
      <c r="I68">
        <v>0</v>
      </c>
    </row>
    <row r="69" spans="1:9">
      <c r="A69" t="s">
        <v>161</v>
      </c>
      <c r="B69">
        <v>617.16899999999998</v>
      </c>
      <c r="C69">
        <v>43.834800000000001</v>
      </c>
      <c r="D69">
        <v>45.782299999999999</v>
      </c>
      <c r="E69">
        <v>45.5306</v>
      </c>
      <c r="F69">
        <v>6520.06</v>
      </c>
      <c r="G69">
        <v>1.8</v>
      </c>
      <c r="H69">
        <v>86.38</v>
      </c>
      <c r="I69">
        <v>0</v>
      </c>
    </row>
    <row r="70" spans="1:9">
      <c r="A70" t="s">
        <v>162</v>
      </c>
      <c r="B70">
        <v>373.02859999999998</v>
      </c>
      <c r="C70">
        <v>40.297800000000002</v>
      </c>
      <c r="D70">
        <v>42.948300000000003</v>
      </c>
      <c r="E70">
        <v>42.459200000000003</v>
      </c>
      <c r="F70">
        <v>5088.8999999999996</v>
      </c>
      <c r="G70">
        <v>1.54</v>
      </c>
      <c r="H70">
        <v>87.47</v>
      </c>
      <c r="I70">
        <v>0</v>
      </c>
    </row>
    <row r="71" spans="1:9">
      <c r="A71" t="s">
        <v>163</v>
      </c>
      <c r="B71">
        <v>218.2286</v>
      </c>
      <c r="C71">
        <v>36.872599999999998</v>
      </c>
      <c r="D71">
        <v>40.542299999999997</v>
      </c>
      <c r="E71">
        <v>39.892800000000001</v>
      </c>
      <c r="F71">
        <v>3653.96</v>
      </c>
      <c r="G71">
        <v>1.36</v>
      </c>
      <c r="H71">
        <v>86.43</v>
      </c>
      <c r="I71">
        <v>0</v>
      </c>
    </row>
    <row r="72" spans="1:9">
      <c r="A72" t="s">
        <v>164</v>
      </c>
      <c r="B72">
        <v>123.70950000000001</v>
      </c>
      <c r="C72">
        <v>33.631599999999999</v>
      </c>
      <c r="D72">
        <v>38.783200000000001</v>
      </c>
      <c r="E72">
        <v>37.978200000000001</v>
      </c>
      <c r="F72">
        <v>2481.56</v>
      </c>
      <c r="G72">
        <v>1.27</v>
      </c>
      <c r="H72">
        <v>86.76</v>
      </c>
      <c r="I72">
        <v>0</v>
      </c>
    </row>
    <row r="73" spans="1:9">
      <c r="A73" t="s">
        <v>165</v>
      </c>
      <c r="B73">
        <v>1584.0103999999999</v>
      </c>
      <c r="C73">
        <v>42.015999999999998</v>
      </c>
      <c r="D73">
        <v>43.6282</v>
      </c>
      <c r="E73">
        <v>44.841500000000003</v>
      </c>
      <c r="F73">
        <v>10310.35</v>
      </c>
      <c r="G73">
        <v>2.62</v>
      </c>
      <c r="H73">
        <v>108.74</v>
      </c>
      <c r="I73">
        <v>0</v>
      </c>
    </row>
    <row r="74" spans="1:9">
      <c r="A74" t="s">
        <v>166</v>
      </c>
      <c r="B74">
        <v>1013.0552</v>
      </c>
      <c r="C74">
        <v>37.609400000000001</v>
      </c>
      <c r="D74">
        <v>40.900599999999997</v>
      </c>
      <c r="E74">
        <v>42.245699999999999</v>
      </c>
      <c r="F74">
        <v>8370.2000000000007</v>
      </c>
      <c r="G74">
        <v>2.13</v>
      </c>
      <c r="H74">
        <v>108.19</v>
      </c>
      <c r="I74">
        <v>0</v>
      </c>
    </row>
    <row r="75" spans="1:9">
      <c r="A75" t="s">
        <v>167</v>
      </c>
      <c r="B75">
        <v>624.12720000000002</v>
      </c>
      <c r="C75">
        <v>33.763100000000001</v>
      </c>
      <c r="D75">
        <v>39.2821</v>
      </c>
      <c r="E75">
        <v>40.4908</v>
      </c>
      <c r="F75">
        <v>6324.48</v>
      </c>
      <c r="G75">
        <v>1.85</v>
      </c>
      <c r="H75">
        <v>110.17</v>
      </c>
      <c r="I75">
        <v>0</v>
      </c>
    </row>
    <row r="76" spans="1:9">
      <c r="A76" t="s">
        <v>168</v>
      </c>
      <c r="B76">
        <v>374.9024</v>
      </c>
      <c r="C76">
        <v>30.2499</v>
      </c>
      <c r="D76">
        <v>38.297600000000003</v>
      </c>
      <c r="E76">
        <v>39.176900000000003</v>
      </c>
      <c r="F76">
        <v>4883.41</v>
      </c>
      <c r="G76">
        <v>1.71</v>
      </c>
      <c r="H76">
        <v>108.98</v>
      </c>
      <c r="I76">
        <v>0</v>
      </c>
    </row>
    <row r="77" spans="1:9">
      <c r="A77" t="s">
        <v>169</v>
      </c>
      <c r="B77">
        <v>1371.5087000000001</v>
      </c>
      <c r="C77">
        <v>41.8431</v>
      </c>
      <c r="D77">
        <v>42.464500000000001</v>
      </c>
      <c r="E77">
        <v>43.388399999999997</v>
      </c>
      <c r="F77">
        <v>9624.68</v>
      </c>
      <c r="G77">
        <v>2.31</v>
      </c>
      <c r="H77">
        <v>108.89</v>
      </c>
      <c r="I77">
        <v>0</v>
      </c>
    </row>
    <row r="78" spans="1:9">
      <c r="A78" t="s">
        <v>170</v>
      </c>
      <c r="B78">
        <v>853.85479999999995</v>
      </c>
      <c r="C78">
        <v>37.557600000000001</v>
      </c>
      <c r="D78">
        <v>39.599899999999998</v>
      </c>
      <c r="E78">
        <v>40.263399999999997</v>
      </c>
      <c r="F78">
        <v>7996.43</v>
      </c>
      <c r="G78">
        <v>2.02</v>
      </c>
      <c r="H78">
        <v>96.72</v>
      </c>
      <c r="I78">
        <v>0</v>
      </c>
    </row>
    <row r="79" spans="1:9">
      <c r="A79" t="s">
        <v>171</v>
      </c>
      <c r="B79">
        <v>493.61509999999998</v>
      </c>
      <c r="C79">
        <v>33.576500000000003</v>
      </c>
      <c r="D79">
        <v>37.381700000000002</v>
      </c>
      <c r="E79">
        <v>37.890300000000003</v>
      </c>
      <c r="F79">
        <v>6406.7</v>
      </c>
      <c r="G79">
        <v>1.75</v>
      </c>
      <c r="H79">
        <v>106.03</v>
      </c>
      <c r="I79">
        <v>0</v>
      </c>
    </row>
    <row r="80" spans="1:9">
      <c r="A80" t="s">
        <v>172</v>
      </c>
      <c r="B80">
        <v>258.47539999999998</v>
      </c>
      <c r="C80">
        <v>29.946300000000001</v>
      </c>
      <c r="D80">
        <v>35.8001</v>
      </c>
      <c r="E80">
        <v>36.236600000000003</v>
      </c>
      <c r="F80">
        <v>4609.3</v>
      </c>
      <c r="G80">
        <v>1.39</v>
      </c>
      <c r="H80">
        <v>109.89</v>
      </c>
      <c r="I80">
        <v>0</v>
      </c>
    </row>
    <row r="81" spans="1:9">
      <c r="A81" t="s">
        <v>173</v>
      </c>
      <c r="B81">
        <v>526.06740000000002</v>
      </c>
      <c r="C81">
        <v>43.427599999999998</v>
      </c>
      <c r="D81">
        <v>43.2545</v>
      </c>
      <c r="E81">
        <v>44.283099999999997</v>
      </c>
      <c r="F81">
        <v>4511.7299999999996</v>
      </c>
      <c r="G81">
        <v>1.2</v>
      </c>
      <c r="H81">
        <v>86.34</v>
      </c>
      <c r="I81">
        <v>0</v>
      </c>
    </row>
    <row r="82" spans="1:9">
      <c r="A82" t="s">
        <v>174</v>
      </c>
      <c r="B82">
        <v>321.41129999999998</v>
      </c>
      <c r="C82">
        <v>39.4133</v>
      </c>
      <c r="D82">
        <v>40.161200000000001</v>
      </c>
      <c r="E82">
        <v>41.596400000000003</v>
      </c>
      <c r="F82">
        <v>3736.26</v>
      </c>
      <c r="G82">
        <v>1.06</v>
      </c>
      <c r="H82">
        <v>88.51</v>
      </c>
      <c r="I82">
        <v>0</v>
      </c>
    </row>
    <row r="83" spans="1:9">
      <c r="A83" t="s">
        <v>175</v>
      </c>
      <c r="B83">
        <v>180.94739999999999</v>
      </c>
      <c r="C83">
        <v>35.490099999999998</v>
      </c>
      <c r="D83">
        <v>38.084099999999999</v>
      </c>
      <c r="E83">
        <v>39.394799999999996</v>
      </c>
      <c r="F83">
        <v>2843.76</v>
      </c>
      <c r="G83">
        <v>0.91</v>
      </c>
      <c r="H83">
        <v>87.54</v>
      </c>
      <c r="I83">
        <v>0</v>
      </c>
    </row>
    <row r="84" spans="1:9">
      <c r="A84" t="s">
        <v>176</v>
      </c>
      <c r="B84">
        <v>92.842100000000002</v>
      </c>
      <c r="C84">
        <v>32.008400000000002</v>
      </c>
      <c r="D84">
        <v>36.564999999999998</v>
      </c>
      <c r="E84">
        <v>37.609299999999998</v>
      </c>
      <c r="F84">
        <v>1873.37</v>
      </c>
      <c r="G84">
        <v>0.8</v>
      </c>
      <c r="H84">
        <v>86.03</v>
      </c>
      <c r="I84">
        <v>0</v>
      </c>
    </row>
    <row r="85" spans="1:9">
      <c r="A85" t="s">
        <v>177</v>
      </c>
      <c r="B85">
        <v>3449.9256</v>
      </c>
      <c r="C85">
        <v>44.517299999999999</v>
      </c>
      <c r="D85">
        <v>47.3628</v>
      </c>
      <c r="E85">
        <v>48.644100000000002</v>
      </c>
      <c r="F85">
        <v>50979.43</v>
      </c>
      <c r="G85">
        <v>12.02</v>
      </c>
      <c r="H85">
        <v>209.42</v>
      </c>
      <c r="I85">
        <v>0</v>
      </c>
    </row>
    <row r="86" spans="1:9">
      <c r="A86" t="s">
        <v>178</v>
      </c>
      <c r="B86">
        <v>2125.5616</v>
      </c>
      <c r="C86">
        <v>42.1496</v>
      </c>
      <c r="D86">
        <v>45.188099999999999</v>
      </c>
      <c r="E86">
        <v>46.530099999999997</v>
      </c>
      <c r="F86">
        <v>37103.769999999997</v>
      </c>
      <c r="G86">
        <v>10.32</v>
      </c>
      <c r="H86">
        <v>238.15</v>
      </c>
      <c r="I86">
        <v>0</v>
      </c>
    </row>
    <row r="87" spans="1:9">
      <c r="A87" t="s">
        <v>179</v>
      </c>
      <c r="B87">
        <v>1325.2816</v>
      </c>
      <c r="C87">
        <v>39.376399999999997</v>
      </c>
      <c r="D87">
        <v>43.4069</v>
      </c>
      <c r="E87">
        <v>44.6678</v>
      </c>
      <c r="F87">
        <v>27423.279999999999</v>
      </c>
      <c r="G87">
        <v>9.6199999999999992</v>
      </c>
      <c r="H87">
        <v>228.96</v>
      </c>
      <c r="I87">
        <v>0</v>
      </c>
    </row>
    <row r="88" spans="1:9">
      <c r="A88" t="s">
        <v>180</v>
      </c>
      <c r="B88">
        <v>816.30399999999997</v>
      </c>
      <c r="C88">
        <v>36.282600000000002</v>
      </c>
      <c r="D88">
        <v>42.061500000000002</v>
      </c>
      <c r="E88">
        <v>43.246200000000002</v>
      </c>
      <c r="F88">
        <v>20127.37</v>
      </c>
      <c r="G88">
        <v>8.7799999999999994</v>
      </c>
      <c r="H88">
        <v>222.72</v>
      </c>
      <c r="I88">
        <v>0</v>
      </c>
    </row>
    <row r="89" spans="1:9">
      <c r="A89" t="s">
        <v>181</v>
      </c>
      <c r="B89">
        <v>2307.4560000000001</v>
      </c>
      <c r="C89">
        <v>44.575000000000003</v>
      </c>
      <c r="D89">
        <v>48.602400000000003</v>
      </c>
      <c r="E89">
        <v>49.350499999999997</v>
      </c>
      <c r="F89">
        <v>34557.65</v>
      </c>
      <c r="G89">
        <v>9.9600000000000009</v>
      </c>
      <c r="H89">
        <v>235.87</v>
      </c>
      <c r="I89">
        <v>0</v>
      </c>
    </row>
    <row r="90" spans="1:9">
      <c r="A90" t="s">
        <v>182</v>
      </c>
      <c r="B90">
        <v>1283.4351999999999</v>
      </c>
      <c r="C90">
        <v>42.5351</v>
      </c>
      <c r="D90">
        <v>46.758000000000003</v>
      </c>
      <c r="E90">
        <v>47.601199999999999</v>
      </c>
      <c r="F90">
        <v>23635.15</v>
      </c>
      <c r="G90">
        <v>8.8800000000000008</v>
      </c>
      <c r="H90">
        <v>210.1</v>
      </c>
      <c r="I90">
        <v>0</v>
      </c>
    </row>
    <row r="91" spans="1:9">
      <c r="A91" t="s">
        <v>183</v>
      </c>
      <c r="B91">
        <v>737.2672</v>
      </c>
      <c r="C91">
        <v>40.31</v>
      </c>
      <c r="D91">
        <v>44.9422</v>
      </c>
      <c r="E91">
        <v>45.763599999999997</v>
      </c>
      <c r="F91">
        <v>16923.89</v>
      </c>
      <c r="G91">
        <v>8.4499999999999993</v>
      </c>
      <c r="H91">
        <v>232.78</v>
      </c>
      <c r="I91">
        <v>0</v>
      </c>
    </row>
    <row r="92" spans="1:9">
      <c r="A92" t="s">
        <v>184</v>
      </c>
      <c r="B92">
        <v>429.68720000000002</v>
      </c>
      <c r="C92">
        <v>37.7956</v>
      </c>
      <c r="D92">
        <v>43.490400000000001</v>
      </c>
      <c r="E92">
        <v>44.343499999999999</v>
      </c>
      <c r="F92">
        <v>11291.64</v>
      </c>
      <c r="G92">
        <v>8.0399999999999991</v>
      </c>
      <c r="H92">
        <v>234.47</v>
      </c>
      <c r="I92">
        <v>0</v>
      </c>
    </row>
    <row r="93" spans="1:9">
      <c r="A93" t="s">
        <v>185</v>
      </c>
      <c r="B93">
        <v>2533.4063999999998</v>
      </c>
      <c r="C93">
        <v>45.030700000000003</v>
      </c>
      <c r="D93">
        <v>48.029000000000003</v>
      </c>
      <c r="E93">
        <v>48.947299999999998</v>
      </c>
      <c r="F93">
        <v>38301.050000000003</v>
      </c>
      <c r="G93">
        <v>10.63</v>
      </c>
      <c r="H93">
        <v>240.69</v>
      </c>
      <c r="I93">
        <v>0</v>
      </c>
    </row>
    <row r="94" spans="1:9">
      <c r="A94" t="s">
        <v>186</v>
      </c>
      <c r="B94">
        <v>1522.3304000000001</v>
      </c>
      <c r="C94">
        <v>42.903199999999998</v>
      </c>
      <c r="D94">
        <v>45.975999999999999</v>
      </c>
      <c r="E94">
        <v>47.051400000000001</v>
      </c>
      <c r="F94">
        <v>27560.29</v>
      </c>
      <c r="G94">
        <v>9.4600000000000009</v>
      </c>
      <c r="H94">
        <v>201.18</v>
      </c>
      <c r="I94">
        <v>0</v>
      </c>
    </row>
    <row r="95" spans="1:9">
      <c r="A95" t="s">
        <v>187</v>
      </c>
      <c r="B95">
        <v>926.80880000000002</v>
      </c>
      <c r="C95">
        <v>40.393099999999997</v>
      </c>
      <c r="D95">
        <v>44.154000000000003</v>
      </c>
      <c r="E95">
        <v>45.304900000000004</v>
      </c>
      <c r="F95">
        <v>19448.72</v>
      </c>
      <c r="G95">
        <v>8.57</v>
      </c>
      <c r="H95">
        <v>206.17</v>
      </c>
      <c r="I95">
        <v>0</v>
      </c>
    </row>
    <row r="96" spans="1:9">
      <c r="A96" t="s">
        <v>188</v>
      </c>
      <c r="B96">
        <v>567.77520000000004</v>
      </c>
      <c r="C96">
        <v>37.583100000000002</v>
      </c>
      <c r="D96">
        <v>42.791800000000002</v>
      </c>
      <c r="E96">
        <v>43.965000000000003</v>
      </c>
      <c r="F96">
        <v>13913.91</v>
      </c>
      <c r="G96">
        <v>8.41</v>
      </c>
      <c r="H96">
        <v>234.4</v>
      </c>
      <c r="I96">
        <v>0</v>
      </c>
    </row>
    <row r="97" spans="1:9">
      <c r="A97" t="s">
        <v>189</v>
      </c>
      <c r="B97">
        <v>2526.6824999999999</v>
      </c>
      <c r="C97">
        <v>42.831299999999999</v>
      </c>
      <c r="D97">
        <v>44.206200000000003</v>
      </c>
      <c r="E97">
        <v>44.970199999999998</v>
      </c>
      <c r="F97">
        <v>24284.31</v>
      </c>
      <c r="G97">
        <v>6.13</v>
      </c>
      <c r="H97">
        <v>158.05000000000001</v>
      </c>
      <c r="I97">
        <v>0</v>
      </c>
    </row>
    <row r="98" spans="1:9">
      <c r="A98" t="s">
        <v>190</v>
      </c>
      <c r="B98">
        <v>1446.4078999999999</v>
      </c>
      <c r="C98">
        <v>39.390900000000002</v>
      </c>
      <c r="D98">
        <v>41.597299999999997</v>
      </c>
      <c r="E98">
        <v>42.146700000000003</v>
      </c>
      <c r="F98">
        <v>18824.93</v>
      </c>
      <c r="G98">
        <v>4.8899999999999997</v>
      </c>
      <c r="H98">
        <v>160.82</v>
      </c>
      <c r="I98">
        <v>0</v>
      </c>
    </row>
    <row r="99" spans="1:9">
      <c r="A99" t="s">
        <v>191</v>
      </c>
      <c r="B99">
        <v>836.07619999999997</v>
      </c>
      <c r="C99">
        <v>36.285200000000003</v>
      </c>
      <c r="D99">
        <v>39.401400000000002</v>
      </c>
      <c r="E99">
        <v>39.771500000000003</v>
      </c>
      <c r="F99">
        <v>13759.88</v>
      </c>
      <c r="G99">
        <v>4.46</v>
      </c>
      <c r="H99">
        <v>131.84</v>
      </c>
      <c r="I99">
        <v>0</v>
      </c>
    </row>
    <row r="100" spans="1:9">
      <c r="A100" t="s">
        <v>192</v>
      </c>
      <c r="B100">
        <v>497.29599999999999</v>
      </c>
      <c r="C100">
        <v>33.414200000000001</v>
      </c>
      <c r="D100">
        <v>37.686799999999998</v>
      </c>
      <c r="E100">
        <v>37.867199999999997</v>
      </c>
      <c r="F100">
        <v>9281.25</v>
      </c>
      <c r="G100">
        <v>3.84</v>
      </c>
      <c r="H100">
        <v>131.11000000000001</v>
      </c>
      <c r="I100">
        <v>0</v>
      </c>
    </row>
    <row r="101" spans="1:9">
      <c r="A101" t="s">
        <v>193</v>
      </c>
      <c r="B101">
        <v>2648.2923999999998</v>
      </c>
      <c r="C101">
        <v>45.598399999999998</v>
      </c>
      <c r="D101">
        <v>47.270200000000003</v>
      </c>
      <c r="E101">
        <v>47.405000000000001</v>
      </c>
      <c r="F101">
        <v>39148.07</v>
      </c>
      <c r="G101">
        <v>9.94</v>
      </c>
      <c r="H101">
        <v>210.8</v>
      </c>
      <c r="I101">
        <v>0</v>
      </c>
    </row>
    <row r="102" spans="1:9">
      <c r="A102" t="s">
        <v>194</v>
      </c>
      <c r="B102">
        <v>1774.61</v>
      </c>
      <c r="C102">
        <v>41.629399999999997</v>
      </c>
      <c r="D102">
        <v>44.482300000000002</v>
      </c>
      <c r="E102">
        <v>44.219799999999999</v>
      </c>
      <c r="F102">
        <v>31232.29</v>
      </c>
      <c r="G102">
        <v>8.41</v>
      </c>
      <c r="H102">
        <v>188.2</v>
      </c>
      <c r="I102">
        <v>0</v>
      </c>
    </row>
    <row r="103" spans="1:9">
      <c r="A103" t="s">
        <v>195</v>
      </c>
      <c r="B103">
        <v>1147.6771000000001</v>
      </c>
      <c r="C103">
        <v>37.795099999999998</v>
      </c>
      <c r="D103">
        <v>42.205500000000001</v>
      </c>
      <c r="E103">
        <v>41.362900000000003</v>
      </c>
      <c r="F103">
        <v>25053.78</v>
      </c>
      <c r="G103">
        <v>7.62</v>
      </c>
      <c r="H103">
        <v>189.91</v>
      </c>
      <c r="I103">
        <v>0</v>
      </c>
    </row>
    <row r="104" spans="1:9">
      <c r="A104" t="s">
        <v>196</v>
      </c>
      <c r="B104">
        <v>735.92380000000003</v>
      </c>
      <c r="C104">
        <v>34.176400000000001</v>
      </c>
      <c r="D104">
        <v>40.564399999999999</v>
      </c>
      <c r="E104">
        <v>39.108600000000003</v>
      </c>
      <c r="F104">
        <v>18764.189999999999</v>
      </c>
      <c r="G104">
        <v>6.71</v>
      </c>
      <c r="H104">
        <v>217.97</v>
      </c>
      <c r="I104">
        <v>0</v>
      </c>
    </row>
    <row r="105" spans="1:9">
      <c r="A105" t="s">
        <v>197</v>
      </c>
      <c r="B105">
        <v>3809.6842000000001</v>
      </c>
      <c r="C105">
        <v>47.260800000000003</v>
      </c>
      <c r="D105">
        <v>45.625399999999999</v>
      </c>
      <c r="E105">
        <v>45.905299999999997</v>
      </c>
      <c r="F105">
        <v>23706.34</v>
      </c>
      <c r="G105">
        <v>6.97</v>
      </c>
      <c r="H105">
        <v>239.08</v>
      </c>
      <c r="I105">
        <v>0</v>
      </c>
    </row>
    <row r="106" spans="1:9">
      <c r="A106" t="s">
        <v>198</v>
      </c>
      <c r="B106">
        <v>2893.4866000000002</v>
      </c>
      <c r="C106">
        <v>42.878</v>
      </c>
      <c r="D106">
        <v>41.475000000000001</v>
      </c>
      <c r="E106">
        <v>42.423299999999998</v>
      </c>
      <c r="F106">
        <v>21801.79</v>
      </c>
      <c r="G106">
        <v>6.31</v>
      </c>
      <c r="H106">
        <v>225.22</v>
      </c>
      <c r="I106">
        <v>0</v>
      </c>
    </row>
    <row r="107" spans="1:9">
      <c r="A107" t="s">
        <v>199</v>
      </c>
      <c r="B107">
        <v>2194.6097</v>
      </c>
      <c r="C107">
        <v>38.296399999999998</v>
      </c>
      <c r="D107">
        <v>39.095300000000002</v>
      </c>
      <c r="E107">
        <v>40.322099999999999</v>
      </c>
      <c r="F107">
        <v>19367.09</v>
      </c>
      <c r="G107">
        <v>5.61</v>
      </c>
      <c r="H107">
        <v>212.31</v>
      </c>
      <c r="I107">
        <v>0</v>
      </c>
    </row>
    <row r="108" spans="1:9">
      <c r="A108" t="s">
        <v>200</v>
      </c>
      <c r="B108">
        <v>1657.9121</v>
      </c>
      <c r="C108">
        <v>33.586100000000002</v>
      </c>
      <c r="D108">
        <v>38.163899999999998</v>
      </c>
      <c r="E108">
        <v>39.119100000000003</v>
      </c>
      <c r="F108">
        <v>17146.46</v>
      </c>
      <c r="G108">
        <v>5.49</v>
      </c>
      <c r="H108">
        <v>238.12</v>
      </c>
      <c r="I108">
        <v>0</v>
      </c>
    </row>
    <row r="109" spans="1:9">
      <c r="A109" t="s">
        <v>201</v>
      </c>
      <c r="B109">
        <v>605.39300000000003</v>
      </c>
      <c r="C109">
        <v>51.284799999999997</v>
      </c>
      <c r="D109">
        <v>53.783999999999999</v>
      </c>
      <c r="E109">
        <v>54.666800000000002</v>
      </c>
      <c r="F109">
        <v>17117.52</v>
      </c>
      <c r="G109">
        <v>6.88</v>
      </c>
      <c r="H109">
        <v>239.94</v>
      </c>
      <c r="I109">
        <v>0</v>
      </c>
    </row>
    <row r="110" spans="1:9">
      <c r="A110" t="s">
        <v>202</v>
      </c>
      <c r="B110">
        <v>410.00790000000001</v>
      </c>
      <c r="C110">
        <v>47.7102</v>
      </c>
      <c r="D110">
        <v>50.5929</v>
      </c>
      <c r="E110">
        <v>51.681800000000003</v>
      </c>
      <c r="F110">
        <v>13366.18</v>
      </c>
      <c r="G110">
        <v>6.51</v>
      </c>
      <c r="H110">
        <v>215.48</v>
      </c>
      <c r="I110">
        <v>0</v>
      </c>
    </row>
    <row r="111" spans="1:9">
      <c r="A111" t="s">
        <v>203</v>
      </c>
      <c r="B111">
        <v>280.3451</v>
      </c>
      <c r="C111">
        <v>44.185099999999998</v>
      </c>
      <c r="D111">
        <v>48.059800000000003</v>
      </c>
      <c r="E111">
        <v>49.733199999999997</v>
      </c>
      <c r="F111">
        <v>10572.7</v>
      </c>
      <c r="G111">
        <v>6.01</v>
      </c>
      <c r="H111">
        <v>212.09</v>
      </c>
      <c r="I111">
        <v>0</v>
      </c>
    </row>
    <row r="112" spans="1:9">
      <c r="A112" t="s">
        <v>204</v>
      </c>
      <c r="B112">
        <v>189.15649999999999</v>
      </c>
      <c r="C112">
        <v>40.399500000000003</v>
      </c>
      <c r="D112">
        <v>46.175199999999997</v>
      </c>
      <c r="E112">
        <v>48.095799999999997</v>
      </c>
      <c r="F112">
        <v>8643.06</v>
      </c>
      <c r="G112">
        <v>6.27</v>
      </c>
      <c r="H112">
        <v>232.63</v>
      </c>
      <c r="I112">
        <v>0</v>
      </c>
    </row>
    <row r="113" spans="1:9">
      <c r="A113" t="s">
        <v>205</v>
      </c>
      <c r="B113">
        <v>31438.434300000001</v>
      </c>
      <c r="C113">
        <v>40.362400000000001</v>
      </c>
      <c r="D113">
        <v>49.029299999999999</v>
      </c>
      <c r="E113">
        <v>47.250700000000002</v>
      </c>
      <c r="F113">
        <v>1048249.52</v>
      </c>
      <c r="G113">
        <v>761.88</v>
      </c>
      <c r="H113">
        <v>6497.51</v>
      </c>
      <c r="I113">
        <v>0</v>
      </c>
    </row>
    <row r="114" spans="1:9">
      <c r="A114" t="s">
        <v>206</v>
      </c>
      <c r="B114">
        <v>8057.3878000000004</v>
      </c>
      <c r="C114">
        <v>39.643099999999997</v>
      </c>
      <c r="D114">
        <v>48.313800000000001</v>
      </c>
      <c r="E114">
        <v>46.113199999999999</v>
      </c>
      <c r="F114">
        <v>605849.24</v>
      </c>
      <c r="G114">
        <v>850.42</v>
      </c>
      <c r="H114">
        <v>6486.04</v>
      </c>
      <c r="I114">
        <v>0</v>
      </c>
    </row>
    <row r="115" spans="1:9">
      <c r="A115" t="s">
        <v>207</v>
      </c>
      <c r="B115">
        <v>3850.3150999999998</v>
      </c>
      <c r="C115">
        <v>38.710299999999997</v>
      </c>
      <c r="D115">
        <v>47.464399999999998</v>
      </c>
      <c r="E115">
        <v>44.842199999999998</v>
      </c>
      <c r="F115">
        <v>452930.24</v>
      </c>
      <c r="G115">
        <v>887.29</v>
      </c>
      <c r="H115">
        <v>6478.86</v>
      </c>
      <c r="I115">
        <v>0</v>
      </c>
    </row>
    <row r="116" spans="1:9">
      <c r="A116" t="s">
        <v>208</v>
      </c>
      <c r="B116">
        <v>2153.3878</v>
      </c>
      <c r="C116">
        <v>37.390900000000002</v>
      </c>
      <c r="D116">
        <v>46.756700000000002</v>
      </c>
      <c r="E116">
        <v>43.7196</v>
      </c>
      <c r="F116">
        <v>350224.97</v>
      </c>
      <c r="G116">
        <v>922.49</v>
      </c>
      <c r="H116">
        <v>6480.17</v>
      </c>
      <c r="I116">
        <v>0</v>
      </c>
    </row>
    <row r="117" spans="1:9">
      <c r="A117" t="s">
        <v>209</v>
      </c>
      <c r="B117">
        <v>94578.448000000004</v>
      </c>
      <c r="C117">
        <v>41.762300000000003</v>
      </c>
      <c r="D117">
        <v>44.022199999999998</v>
      </c>
      <c r="E117">
        <v>42.146700000000003</v>
      </c>
      <c r="F117">
        <v>796695.94</v>
      </c>
      <c r="G117">
        <v>877.38</v>
      </c>
      <c r="H117">
        <v>6136.54</v>
      </c>
      <c r="I117">
        <v>0</v>
      </c>
    </row>
    <row r="118" spans="1:9">
      <c r="A118" t="s">
        <v>210</v>
      </c>
      <c r="B118">
        <v>23263.56</v>
      </c>
      <c r="C118">
        <v>39.478299999999997</v>
      </c>
      <c r="D118">
        <v>42.838500000000003</v>
      </c>
      <c r="E118">
        <v>41.076799999999999</v>
      </c>
      <c r="F118">
        <v>469312.8</v>
      </c>
      <c r="G118">
        <v>688.34</v>
      </c>
      <c r="H118">
        <v>6123.43</v>
      </c>
      <c r="I118">
        <v>0</v>
      </c>
    </row>
    <row r="119" spans="1:9">
      <c r="A119" t="s">
        <v>211</v>
      </c>
      <c r="B119">
        <v>9331.9519999999993</v>
      </c>
      <c r="C119">
        <v>37.619999999999997</v>
      </c>
      <c r="D119">
        <v>41.751600000000003</v>
      </c>
      <c r="E119">
        <v>40.1008</v>
      </c>
      <c r="F119">
        <v>355262.82</v>
      </c>
      <c r="G119">
        <v>692.48</v>
      </c>
      <c r="H119">
        <v>6129.04</v>
      </c>
      <c r="I119">
        <v>0</v>
      </c>
    </row>
    <row r="120" spans="1:9">
      <c r="A120" t="s">
        <v>212</v>
      </c>
      <c r="B120">
        <v>4697.576</v>
      </c>
      <c r="C120">
        <v>35.628799999999998</v>
      </c>
      <c r="D120">
        <v>40.7742</v>
      </c>
      <c r="E120">
        <v>39.235300000000002</v>
      </c>
      <c r="F120">
        <v>275618.28999999998</v>
      </c>
      <c r="G120">
        <v>726.43</v>
      </c>
      <c r="H120">
        <v>6124.54</v>
      </c>
      <c r="I120">
        <v>0</v>
      </c>
    </row>
    <row r="121" spans="1:9">
      <c r="A121" t="s">
        <v>213</v>
      </c>
      <c r="B121">
        <v>51809.663999999997</v>
      </c>
      <c r="C121">
        <v>39.144500000000001</v>
      </c>
      <c r="D121">
        <v>42.144599999999997</v>
      </c>
      <c r="E121">
        <v>43.172699999999999</v>
      </c>
      <c r="F121">
        <v>1489058.77</v>
      </c>
      <c r="G121">
        <v>579.96</v>
      </c>
      <c r="H121">
        <v>6138.42</v>
      </c>
      <c r="I121">
        <v>0</v>
      </c>
    </row>
    <row r="122" spans="1:9">
      <c r="A122" t="s">
        <v>214</v>
      </c>
      <c r="B122">
        <v>16472.4856</v>
      </c>
      <c r="C122">
        <v>37.627600000000001</v>
      </c>
      <c r="D122">
        <v>39.376199999999997</v>
      </c>
      <c r="E122">
        <v>41.637799999999999</v>
      </c>
      <c r="F122">
        <v>946332.17</v>
      </c>
      <c r="G122">
        <v>466.18</v>
      </c>
      <c r="H122">
        <v>6134.59</v>
      </c>
      <c r="I122">
        <v>0</v>
      </c>
    </row>
    <row r="123" spans="1:9">
      <c r="A123" t="s">
        <v>215</v>
      </c>
      <c r="B123">
        <v>8063.5056000000004</v>
      </c>
      <c r="C123">
        <v>36.443399999999997</v>
      </c>
      <c r="D123">
        <v>37.411099999999998</v>
      </c>
      <c r="E123">
        <v>40.345799999999997</v>
      </c>
      <c r="F123">
        <v>762601.84</v>
      </c>
      <c r="G123">
        <v>490.68</v>
      </c>
      <c r="H123">
        <v>6129.09</v>
      </c>
      <c r="I123">
        <v>0</v>
      </c>
    </row>
    <row r="124" spans="1:9">
      <c r="A124" t="s">
        <v>216</v>
      </c>
      <c r="B124">
        <v>4358.5119999999997</v>
      </c>
      <c r="C124">
        <v>35.053199999999997</v>
      </c>
      <c r="D124">
        <v>35.273400000000002</v>
      </c>
      <c r="E124">
        <v>38.881500000000003</v>
      </c>
      <c r="F124">
        <v>572866.51</v>
      </c>
      <c r="G124">
        <v>516.29999999999995</v>
      </c>
      <c r="H124">
        <v>6127.72</v>
      </c>
      <c r="I124">
        <v>0</v>
      </c>
    </row>
    <row r="125" spans="1:9">
      <c r="A125" t="s">
        <v>217</v>
      </c>
      <c r="B125">
        <v>208504.4768</v>
      </c>
      <c r="C125">
        <v>40.258200000000002</v>
      </c>
      <c r="D125">
        <v>45.667000000000002</v>
      </c>
      <c r="E125">
        <v>41.756500000000003</v>
      </c>
      <c r="F125">
        <v>1761201.81</v>
      </c>
      <c r="G125">
        <v>831.57</v>
      </c>
      <c r="H125">
        <v>6497.46</v>
      </c>
      <c r="I125">
        <v>0</v>
      </c>
    </row>
    <row r="126" spans="1:9">
      <c r="A126" t="s">
        <v>218</v>
      </c>
      <c r="B126">
        <v>93638.6976</v>
      </c>
      <c r="C126">
        <v>36.339500000000001</v>
      </c>
      <c r="D126">
        <v>44.504399999999997</v>
      </c>
      <c r="E126">
        <v>40.322099999999999</v>
      </c>
      <c r="F126">
        <v>1621603.45</v>
      </c>
      <c r="G126">
        <v>901.1</v>
      </c>
      <c r="H126">
        <v>6507.29</v>
      </c>
      <c r="I126">
        <v>0</v>
      </c>
    </row>
    <row r="127" spans="1:9">
      <c r="A127" t="s">
        <v>219</v>
      </c>
      <c r="B127">
        <v>41765.856</v>
      </c>
      <c r="C127">
        <v>33.043999999999997</v>
      </c>
      <c r="D127">
        <v>43.805100000000003</v>
      </c>
      <c r="E127">
        <v>39.6023</v>
      </c>
      <c r="F127">
        <v>1201174.45</v>
      </c>
      <c r="G127">
        <v>1009.37</v>
      </c>
      <c r="H127">
        <v>6483.38</v>
      </c>
      <c r="I127">
        <v>0</v>
      </c>
    </row>
    <row r="128" spans="1:9">
      <c r="A128" t="s">
        <v>220</v>
      </c>
      <c r="B128">
        <v>18392.414400000001</v>
      </c>
      <c r="C128">
        <v>30.421700000000001</v>
      </c>
      <c r="D128">
        <v>43.244199999999999</v>
      </c>
      <c r="E128">
        <v>39.111199999999997</v>
      </c>
      <c r="F128">
        <v>938699.26</v>
      </c>
      <c r="G128">
        <v>1058.3900000000001</v>
      </c>
      <c r="H128">
        <v>6498.01</v>
      </c>
      <c r="I128">
        <v>0</v>
      </c>
    </row>
    <row r="129" spans="1:9">
      <c r="A129" t="s">
        <v>221</v>
      </c>
      <c r="B129">
        <v>35804.526400000002</v>
      </c>
      <c r="C129">
        <v>40.429699999999997</v>
      </c>
      <c r="D129">
        <v>41.779299999999999</v>
      </c>
      <c r="E129">
        <v>43.356000000000002</v>
      </c>
      <c r="F129">
        <v>662636.88</v>
      </c>
      <c r="G129">
        <v>963.3</v>
      </c>
      <c r="H129">
        <v>5826.47</v>
      </c>
      <c r="I129">
        <v>0</v>
      </c>
    </row>
    <row r="130" spans="1:9">
      <c r="A130" t="s">
        <v>222</v>
      </c>
      <c r="B130">
        <v>9007.2639999999992</v>
      </c>
      <c r="C130">
        <v>39.4101</v>
      </c>
      <c r="D130">
        <v>41.271099999999997</v>
      </c>
      <c r="E130">
        <v>42.224499999999999</v>
      </c>
      <c r="F130">
        <v>432767.52</v>
      </c>
      <c r="G130">
        <v>987.01</v>
      </c>
      <c r="H130">
        <v>6103.86</v>
      </c>
      <c r="I130">
        <v>0</v>
      </c>
    </row>
    <row r="131" spans="1:9">
      <c r="A131" t="s">
        <v>223</v>
      </c>
      <c r="B131">
        <v>4256.7839999999997</v>
      </c>
      <c r="C131">
        <v>38.124400000000001</v>
      </c>
      <c r="D131">
        <v>40.671799999999998</v>
      </c>
      <c r="E131">
        <v>41.014600000000002</v>
      </c>
      <c r="F131">
        <v>327446.77</v>
      </c>
      <c r="G131">
        <v>989.03</v>
      </c>
      <c r="H131">
        <v>6093.4</v>
      </c>
      <c r="I131">
        <v>0</v>
      </c>
    </row>
    <row r="132" spans="1:9">
      <c r="A132" t="s">
        <v>224</v>
      </c>
      <c r="B132">
        <v>2315.096</v>
      </c>
      <c r="C132">
        <v>36.442599999999999</v>
      </c>
      <c r="D132">
        <v>40.080199999999998</v>
      </c>
      <c r="E132">
        <v>39.916499999999999</v>
      </c>
      <c r="F132">
        <v>262891.63</v>
      </c>
      <c r="G132">
        <v>979.99</v>
      </c>
      <c r="H132">
        <v>6099.31</v>
      </c>
      <c r="I132">
        <v>0</v>
      </c>
    </row>
    <row r="133" spans="1:9">
      <c r="A133" t="s">
        <v>225</v>
      </c>
      <c r="B133">
        <v>15665.7024</v>
      </c>
      <c r="C133">
        <v>40.092300000000002</v>
      </c>
      <c r="D133">
        <v>47.642600000000002</v>
      </c>
      <c r="E133">
        <v>47.179699999999997</v>
      </c>
      <c r="F133">
        <v>502516.18</v>
      </c>
      <c r="G133">
        <v>672.82</v>
      </c>
      <c r="H133">
        <v>6137.13</v>
      </c>
      <c r="I133">
        <v>0</v>
      </c>
    </row>
    <row r="134" spans="1:9">
      <c r="A134" t="s">
        <v>226</v>
      </c>
      <c r="B134">
        <v>3640.62</v>
      </c>
      <c r="C134">
        <v>39.220399999999998</v>
      </c>
      <c r="D134">
        <v>46.426600000000001</v>
      </c>
      <c r="E134">
        <v>46.2027</v>
      </c>
      <c r="F134">
        <v>282915.59000000003</v>
      </c>
      <c r="G134">
        <v>653.13</v>
      </c>
      <c r="H134">
        <v>6135.4</v>
      </c>
      <c r="I134">
        <v>0</v>
      </c>
    </row>
    <row r="135" spans="1:9">
      <c r="A135" t="s">
        <v>227</v>
      </c>
      <c r="B135">
        <v>1597.1368</v>
      </c>
      <c r="C135">
        <v>38.171799999999998</v>
      </c>
      <c r="D135">
        <v>45.142600000000002</v>
      </c>
      <c r="E135">
        <v>45.055300000000003</v>
      </c>
      <c r="F135">
        <v>194585.49</v>
      </c>
      <c r="G135">
        <v>645.57000000000005</v>
      </c>
      <c r="H135">
        <v>6129.82</v>
      </c>
      <c r="I135">
        <v>0</v>
      </c>
    </row>
    <row r="136" spans="1:9">
      <c r="A136" t="s">
        <v>228</v>
      </c>
      <c r="B136">
        <v>806.01440000000002</v>
      </c>
      <c r="C136">
        <v>36.867600000000003</v>
      </c>
      <c r="D136">
        <v>43.877000000000002</v>
      </c>
      <c r="E136">
        <v>43.773600000000002</v>
      </c>
      <c r="F136">
        <v>155626.76999999999</v>
      </c>
      <c r="G136">
        <v>676.57</v>
      </c>
      <c r="H136">
        <v>6124.25</v>
      </c>
      <c r="I136">
        <v>0</v>
      </c>
    </row>
    <row r="137" spans="1:9">
      <c r="A137" t="s">
        <v>229</v>
      </c>
      <c r="B137">
        <v>61005.497600000002</v>
      </c>
      <c r="C137">
        <v>38.217100000000002</v>
      </c>
      <c r="D137">
        <v>45.922400000000003</v>
      </c>
      <c r="E137">
        <v>43.820900000000002</v>
      </c>
      <c r="F137">
        <v>998487.34</v>
      </c>
      <c r="G137">
        <v>736.67</v>
      </c>
      <c r="H137">
        <v>6136.85</v>
      </c>
      <c r="I137">
        <v>0</v>
      </c>
    </row>
    <row r="138" spans="1:9">
      <c r="A138" t="s">
        <v>230</v>
      </c>
      <c r="B138">
        <v>10926.190399999999</v>
      </c>
      <c r="C138">
        <v>37.291600000000003</v>
      </c>
      <c r="D138">
        <v>45.097700000000003</v>
      </c>
      <c r="E138">
        <v>42.882300000000001</v>
      </c>
      <c r="F138">
        <v>547372.34</v>
      </c>
      <c r="G138">
        <v>774.05</v>
      </c>
      <c r="H138">
        <v>6126.47</v>
      </c>
      <c r="I138">
        <v>0</v>
      </c>
    </row>
    <row r="139" spans="1:9">
      <c r="A139" t="s">
        <v>231</v>
      </c>
      <c r="B139">
        <v>4354.3824000000004</v>
      </c>
      <c r="C139">
        <v>36.3508</v>
      </c>
      <c r="D139">
        <v>44.113900000000001</v>
      </c>
      <c r="E139">
        <v>41.811799999999998</v>
      </c>
      <c r="F139">
        <v>372213.39</v>
      </c>
      <c r="G139">
        <v>729.6</v>
      </c>
      <c r="H139">
        <v>6132.49</v>
      </c>
      <c r="I139">
        <v>0</v>
      </c>
    </row>
    <row r="140" spans="1:9">
      <c r="A140" t="s">
        <v>232</v>
      </c>
      <c r="B140">
        <v>2229.9023999999999</v>
      </c>
      <c r="C140">
        <v>35.030500000000004</v>
      </c>
      <c r="D140">
        <v>43.141599999999997</v>
      </c>
      <c r="E140">
        <v>40.749400000000001</v>
      </c>
      <c r="F140">
        <v>288439.75</v>
      </c>
      <c r="G140">
        <v>716.81</v>
      </c>
      <c r="H140">
        <v>6128.62</v>
      </c>
      <c r="I140">
        <v>0</v>
      </c>
    </row>
    <row r="141" spans="1:9">
      <c r="A141" t="s">
        <v>233</v>
      </c>
      <c r="B141">
        <v>22281.996800000001</v>
      </c>
      <c r="C141">
        <v>45.501100000000001</v>
      </c>
      <c r="D141">
        <v>47.255600000000001</v>
      </c>
      <c r="E141">
        <v>45.959000000000003</v>
      </c>
      <c r="F141">
        <v>859407.83</v>
      </c>
      <c r="G141">
        <v>689.49</v>
      </c>
      <c r="H141">
        <v>6503.88</v>
      </c>
      <c r="I141">
        <v>0</v>
      </c>
    </row>
    <row r="142" spans="1:9">
      <c r="A142" t="s">
        <v>234</v>
      </c>
      <c r="B142">
        <v>8671.0159999999996</v>
      </c>
      <c r="C142">
        <v>43.539499999999997</v>
      </c>
      <c r="D142">
        <v>45.820500000000003</v>
      </c>
      <c r="E142">
        <v>44.811199999999999</v>
      </c>
      <c r="F142">
        <v>626984.09</v>
      </c>
      <c r="G142">
        <v>644.19000000000005</v>
      </c>
      <c r="H142">
        <v>6483.38</v>
      </c>
      <c r="I142">
        <v>0</v>
      </c>
    </row>
    <row r="143" spans="1:9">
      <c r="A143" t="s">
        <v>235</v>
      </c>
      <c r="B143">
        <v>4237.2992000000004</v>
      </c>
      <c r="C143">
        <v>41.358199999999997</v>
      </c>
      <c r="D143">
        <v>44.388300000000001</v>
      </c>
      <c r="E143">
        <v>43.804200000000002</v>
      </c>
      <c r="F143">
        <v>466542.43</v>
      </c>
      <c r="G143">
        <v>570.95000000000005</v>
      </c>
      <c r="H143">
        <v>6478.2</v>
      </c>
      <c r="I143">
        <v>0</v>
      </c>
    </row>
    <row r="144" spans="1:9">
      <c r="A144" t="s">
        <v>236</v>
      </c>
      <c r="B144">
        <v>2291.1648</v>
      </c>
      <c r="C144">
        <v>39.0672</v>
      </c>
      <c r="D144">
        <v>43.179600000000001</v>
      </c>
      <c r="E144">
        <v>43.0289</v>
      </c>
      <c r="F144">
        <v>362799.65</v>
      </c>
      <c r="G144">
        <v>529.63</v>
      </c>
      <c r="H144">
        <v>6478.89</v>
      </c>
      <c r="I144">
        <v>0</v>
      </c>
    </row>
    <row r="145" spans="1:9">
      <c r="A145" t="s">
        <v>237</v>
      </c>
      <c r="B145">
        <v>4226.576</v>
      </c>
      <c r="C145">
        <v>41.984900000000003</v>
      </c>
      <c r="D145">
        <v>43.624099999999999</v>
      </c>
      <c r="E145">
        <v>45.462699999999998</v>
      </c>
      <c r="F145">
        <v>146679.13</v>
      </c>
      <c r="G145">
        <v>186.36</v>
      </c>
      <c r="H145">
        <v>1811.19</v>
      </c>
      <c r="I145">
        <v>0</v>
      </c>
    </row>
    <row r="146" spans="1:9">
      <c r="A146" t="s">
        <v>238</v>
      </c>
      <c r="B146">
        <v>1795.0935999999999</v>
      </c>
      <c r="C146">
        <v>40.139099999999999</v>
      </c>
      <c r="D146">
        <v>42.451000000000001</v>
      </c>
      <c r="E146">
        <v>43.7117</v>
      </c>
      <c r="F146">
        <v>110042.14</v>
      </c>
      <c r="G146">
        <v>186.64</v>
      </c>
      <c r="H146">
        <v>1814.37</v>
      </c>
      <c r="I146">
        <v>0</v>
      </c>
    </row>
    <row r="147" spans="1:9">
      <c r="A147" t="s">
        <v>239</v>
      </c>
      <c r="B147">
        <v>860.44159999999999</v>
      </c>
      <c r="C147">
        <v>37.835099999999997</v>
      </c>
      <c r="D147">
        <v>41.421300000000002</v>
      </c>
      <c r="E147">
        <v>42.4086</v>
      </c>
      <c r="F147">
        <v>83622.080000000002</v>
      </c>
      <c r="G147">
        <v>194.72</v>
      </c>
      <c r="H147">
        <v>1812.14</v>
      </c>
      <c r="I147">
        <v>0</v>
      </c>
    </row>
    <row r="148" spans="1:9">
      <c r="A148" t="s">
        <v>240</v>
      </c>
      <c r="B148">
        <v>430.93439999999998</v>
      </c>
      <c r="C148">
        <v>35.478400000000001</v>
      </c>
      <c r="D148">
        <v>40.544699999999999</v>
      </c>
      <c r="E148">
        <v>41.482700000000001</v>
      </c>
      <c r="F148">
        <v>66081.81</v>
      </c>
      <c r="G148">
        <v>197.48</v>
      </c>
      <c r="H148">
        <v>1805.79</v>
      </c>
      <c r="I148">
        <v>0</v>
      </c>
    </row>
    <row r="149" spans="1:9">
      <c r="A149" t="s">
        <v>241</v>
      </c>
      <c r="B149">
        <v>6538.7871999999998</v>
      </c>
      <c r="C149">
        <v>40.511000000000003</v>
      </c>
      <c r="D149">
        <v>42.656199999999998</v>
      </c>
      <c r="E149">
        <v>44.258099999999999</v>
      </c>
      <c r="F149">
        <v>126711.31</v>
      </c>
      <c r="G149">
        <v>172.87</v>
      </c>
      <c r="H149">
        <v>1814.06</v>
      </c>
      <c r="I149">
        <v>0</v>
      </c>
    </row>
    <row r="150" spans="1:9">
      <c r="A150" t="s">
        <v>242</v>
      </c>
      <c r="B150">
        <v>2719.4663999999998</v>
      </c>
      <c r="C150">
        <v>38.069899999999997</v>
      </c>
      <c r="D150">
        <v>41.177199999999999</v>
      </c>
      <c r="E150">
        <v>42.103900000000003</v>
      </c>
      <c r="F150">
        <v>95901.66</v>
      </c>
      <c r="G150">
        <v>167.31</v>
      </c>
      <c r="H150">
        <v>1814.26</v>
      </c>
      <c r="I150">
        <v>0</v>
      </c>
    </row>
    <row r="151" spans="1:9">
      <c r="A151" t="s">
        <v>243</v>
      </c>
      <c r="B151">
        <v>1251.2016000000001</v>
      </c>
      <c r="C151">
        <v>35.558599999999998</v>
      </c>
      <c r="D151">
        <v>39.767699999999998</v>
      </c>
      <c r="E151">
        <v>40.454099999999997</v>
      </c>
      <c r="F151">
        <v>75391.61</v>
      </c>
      <c r="G151">
        <v>172.81</v>
      </c>
      <c r="H151">
        <v>1815.61</v>
      </c>
      <c r="I151">
        <v>0</v>
      </c>
    </row>
    <row r="152" spans="1:9">
      <c r="A152" t="s">
        <v>244</v>
      </c>
      <c r="B152">
        <v>590.83839999999998</v>
      </c>
      <c r="C152">
        <v>33.167099999999998</v>
      </c>
      <c r="D152">
        <v>38.463099999999997</v>
      </c>
      <c r="E152">
        <v>39.333500000000001</v>
      </c>
      <c r="F152">
        <v>55595.83</v>
      </c>
      <c r="G152">
        <v>170.55</v>
      </c>
      <c r="H152">
        <v>1810.77</v>
      </c>
      <c r="I152">
        <v>0</v>
      </c>
    </row>
    <row r="153" spans="1:9">
      <c r="A153" t="s">
        <v>245</v>
      </c>
      <c r="B153">
        <v>15304.111199999999</v>
      </c>
      <c r="C153">
        <v>38.7121</v>
      </c>
      <c r="D153">
        <v>40.037599999999998</v>
      </c>
      <c r="E153">
        <v>43.815800000000003</v>
      </c>
      <c r="F153">
        <v>322245.90999999997</v>
      </c>
      <c r="G153">
        <v>415.43</v>
      </c>
      <c r="H153">
        <v>1814.46</v>
      </c>
      <c r="I153">
        <v>0</v>
      </c>
    </row>
    <row r="154" spans="1:9">
      <c r="A154" t="s">
        <v>246</v>
      </c>
      <c r="B154">
        <v>4479.7295999999997</v>
      </c>
      <c r="C154">
        <v>37.205800000000004</v>
      </c>
      <c r="D154">
        <v>39.3354</v>
      </c>
      <c r="E154">
        <v>42.372500000000002</v>
      </c>
      <c r="F154">
        <v>217229.91</v>
      </c>
      <c r="G154">
        <v>394.52</v>
      </c>
      <c r="H154">
        <v>1812.38</v>
      </c>
      <c r="I154">
        <v>0</v>
      </c>
    </row>
    <row r="155" spans="1:9">
      <c r="A155" t="s">
        <v>247</v>
      </c>
      <c r="B155">
        <v>2043.5824</v>
      </c>
      <c r="C155">
        <v>35.513800000000003</v>
      </c>
      <c r="D155">
        <v>38.695099999999996</v>
      </c>
      <c r="E155">
        <v>41.0381</v>
      </c>
      <c r="F155">
        <v>166828.81</v>
      </c>
      <c r="G155">
        <v>391.31</v>
      </c>
      <c r="H155">
        <v>1813.77</v>
      </c>
      <c r="I155">
        <v>0</v>
      </c>
    </row>
    <row r="156" spans="1:9">
      <c r="A156" t="s">
        <v>248</v>
      </c>
      <c r="B156">
        <v>1033.6135999999999</v>
      </c>
      <c r="C156">
        <v>33.506799999999998</v>
      </c>
      <c r="D156">
        <v>37.964199999999998</v>
      </c>
      <c r="E156">
        <v>39.801499999999997</v>
      </c>
      <c r="F156">
        <v>132969.79</v>
      </c>
      <c r="G156">
        <v>384.66</v>
      </c>
      <c r="H156">
        <v>1817.57</v>
      </c>
      <c r="I156">
        <v>0</v>
      </c>
    </row>
    <row r="157" spans="1:9">
      <c r="A157" t="s">
        <v>249</v>
      </c>
      <c r="B157">
        <v>15120.964</v>
      </c>
      <c r="C157">
        <v>39.447899999999997</v>
      </c>
      <c r="D157">
        <v>44.052300000000002</v>
      </c>
      <c r="E157">
        <v>45.423000000000002</v>
      </c>
      <c r="F157">
        <v>422149.3</v>
      </c>
      <c r="G157">
        <v>324.86</v>
      </c>
      <c r="H157">
        <v>1815.78</v>
      </c>
      <c r="I157">
        <v>0</v>
      </c>
    </row>
    <row r="158" spans="1:9">
      <c r="A158" t="s">
        <v>250</v>
      </c>
      <c r="B158">
        <v>4913.2007999999996</v>
      </c>
      <c r="C158">
        <v>37.836199999999998</v>
      </c>
      <c r="D158">
        <v>43.019300000000001</v>
      </c>
      <c r="E158">
        <v>43.754800000000003</v>
      </c>
      <c r="F158">
        <v>289290.38</v>
      </c>
      <c r="G158">
        <v>302.39999999999998</v>
      </c>
      <c r="H158">
        <v>1814.58</v>
      </c>
      <c r="I158">
        <v>0</v>
      </c>
    </row>
    <row r="159" spans="1:9">
      <c r="A159" t="s">
        <v>251</v>
      </c>
      <c r="B159">
        <v>2235.1815999999999</v>
      </c>
      <c r="C159">
        <v>36.071800000000003</v>
      </c>
      <c r="D159">
        <v>41.965000000000003</v>
      </c>
      <c r="E159">
        <v>42.193100000000001</v>
      </c>
      <c r="F159">
        <v>226306.42</v>
      </c>
      <c r="G159">
        <v>319.18</v>
      </c>
      <c r="H159">
        <v>1813</v>
      </c>
      <c r="I159">
        <v>0</v>
      </c>
    </row>
    <row r="160" spans="1:9">
      <c r="A160" t="s">
        <v>252</v>
      </c>
      <c r="B160">
        <v>1144.5512000000001</v>
      </c>
      <c r="C160">
        <v>34.157600000000002</v>
      </c>
      <c r="D160">
        <v>41.024099999999997</v>
      </c>
      <c r="E160">
        <v>40.771700000000003</v>
      </c>
      <c r="F160">
        <v>176020.23</v>
      </c>
      <c r="G160">
        <v>336.21</v>
      </c>
      <c r="H160">
        <v>1812.87</v>
      </c>
      <c r="I160">
        <v>0</v>
      </c>
    </row>
    <row r="161" spans="1:9">
      <c r="A161" t="s">
        <v>253</v>
      </c>
      <c r="B161">
        <v>32735.156800000001</v>
      </c>
      <c r="C161">
        <v>37.439799999999998</v>
      </c>
      <c r="D161">
        <v>42.363199999999999</v>
      </c>
      <c r="E161">
        <v>44.700899999999997</v>
      </c>
      <c r="F161">
        <v>401486.07</v>
      </c>
      <c r="G161">
        <v>568.44000000000005</v>
      </c>
      <c r="H161">
        <v>1815.12</v>
      </c>
      <c r="I161">
        <v>0</v>
      </c>
    </row>
    <row r="162" spans="1:9">
      <c r="A162" t="s">
        <v>254</v>
      </c>
      <c r="B162">
        <v>5850.0511999999999</v>
      </c>
      <c r="C162">
        <v>35.4923</v>
      </c>
      <c r="D162">
        <v>41.356299999999997</v>
      </c>
      <c r="E162">
        <v>43.844900000000003</v>
      </c>
      <c r="F162">
        <v>205064.78</v>
      </c>
      <c r="G162">
        <v>311.52999999999997</v>
      </c>
      <c r="H162">
        <v>1815.31</v>
      </c>
      <c r="I162">
        <v>0</v>
      </c>
    </row>
    <row r="163" spans="1:9">
      <c r="A163" t="s">
        <v>255</v>
      </c>
      <c r="B163">
        <v>1819.596</v>
      </c>
      <c r="C163">
        <v>34.206400000000002</v>
      </c>
      <c r="D163">
        <v>40.262</v>
      </c>
      <c r="E163">
        <v>42.934199999999997</v>
      </c>
      <c r="F163">
        <v>131973.92000000001</v>
      </c>
      <c r="G163">
        <v>278.54000000000002</v>
      </c>
      <c r="H163">
        <v>1813.45</v>
      </c>
      <c r="I163">
        <v>0</v>
      </c>
    </row>
    <row r="164" spans="1:9">
      <c r="A164" t="s">
        <v>256</v>
      </c>
      <c r="B164">
        <v>828.79200000000003</v>
      </c>
      <c r="C164">
        <v>32.735199999999999</v>
      </c>
      <c r="D164">
        <v>39.1723</v>
      </c>
      <c r="E164">
        <v>41.999099999999999</v>
      </c>
      <c r="F164">
        <v>96970.99</v>
      </c>
      <c r="G164">
        <v>280.83999999999997</v>
      </c>
      <c r="H164">
        <v>1814.91</v>
      </c>
      <c r="I164">
        <v>0</v>
      </c>
    </row>
    <row r="165" spans="1:9">
      <c r="A165" t="s">
        <v>257</v>
      </c>
      <c r="B165">
        <v>2866.9263999999998</v>
      </c>
      <c r="C165">
        <v>41.512900000000002</v>
      </c>
      <c r="D165">
        <v>43.584400000000002</v>
      </c>
      <c r="E165">
        <v>44.326999999999998</v>
      </c>
      <c r="F165">
        <v>85259.54</v>
      </c>
      <c r="G165">
        <v>76</v>
      </c>
      <c r="H165">
        <v>543.23</v>
      </c>
      <c r="I165">
        <v>0</v>
      </c>
    </row>
    <row r="166" spans="1:9">
      <c r="A166" t="s">
        <v>258</v>
      </c>
      <c r="B166">
        <v>1350.0216</v>
      </c>
      <c r="C166">
        <v>38.346699999999998</v>
      </c>
      <c r="D166">
        <v>41.580399999999997</v>
      </c>
      <c r="E166">
        <v>41.954000000000001</v>
      </c>
      <c r="F166">
        <v>74781.61</v>
      </c>
      <c r="G166">
        <v>80.510000000000005</v>
      </c>
      <c r="H166">
        <v>542.51</v>
      </c>
      <c r="I166">
        <v>0</v>
      </c>
    </row>
    <row r="167" spans="1:9">
      <c r="A167" t="s">
        <v>259</v>
      </c>
      <c r="B167">
        <v>658.34640000000002</v>
      </c>
      <c r="C167">
        <v>35.324199999999998</v>
      </c>
      <c r="D167">
        <v>39.829300000000003</v>
      </c>
      <c r="E167">
        <v>40.005400000000002</v>
      </c>
      <c r="F167">
        <v>60673.57</v>
      </c>
      <c r="G167">
        <v>89.59</v>
      </c>
      <c r="H167">
        <v>541.71</v>
      </c>
      <c r="I167">
        <v>0</v>
      </c>
    </row>
    <row r="168" spans="1:9">
      <c r="A168" t="s">
        <v>260</v>
      </c>
      <c r="B168">
        <v>341.86079999999998</v>
      </c>
      <c r="C168">
        <v>32.761000000000003</v>
      </c>
      <c r="D168">
        <v>38.329900000000002</v>
      </c>
      <c r="E168">
        <v>38.343400000000003</v>
      </c>
      <c r="F168">
        <v>49256.25</v>
      </c>
      <c r="G168">
        <v>100.95</v>
      </c>
      <c r="H168">
        <v>541.44000000000005</v>
      </c>
      <c r="I168">
        <v>0</v>
      </c>
    </row>
    <row r="169" spans="1:9">
      <c r="A169" t="s">
        <v>261</v>
      </c>
      <c r="B169">
        <v>2958.752</v>
      </c>
      <c r="C169">
        <v>40.628799999999998</v>
      </c>
      <c r="D169">
        <v>43.906199999999998</v>
      </c>
      <c r="E169">
        <v>45.641300000000001</v>
      </c>
      <c r="F169">
        <v>90361.69</v>
      </c>
      <c r="G169">
        <v>132.63999999999999</v>
      </c>
      <c r="H169">
        <v>541.95000000000005</v>
      </c>
      <c r="I169">
        <v>0</v>
      </c>
    </row>
    <row r="170" spans="1:9">
      <c r="A170" t="s">
        <v>262</v>
      </c>
      <c r="B170">
        <v>1311.7736</v>
      </c>
      <c r="C170">
        <v>38.149900000000002</v>
      </c>
      <c r="D170">
        <v>42.199599999999997</v>
      </c>
      <c r="E170">
        <v>43.546799999999998</v>
      </c>
      <c r="F170">
        <v>71885.64</v>
      </c>
      <c r="G170">
        <v>133.16</v>
      </c>
      <c r="H170">
        <v>541.54</v>
      </c>
      <c r="I170">
        <v>0</v>
      </c>
    </row>
    <row r="171" spans="1:9">
      <c r="A171" t="s">
        <v>263</v>
      </c>
      <c r="B171">
        <v>645.71360000000004</v>
      </c>
      <c r="C171">
        <v>35.448</v>
      </c>
      <c r="D171">
        <v>40.6601</v>
      </c>
      <c r="E171">
        <v>41.722700000000003</v>
      </c>
      <c r="F171">
        <v>59302.080000000002</v>
      </c>
      <c r="G171">
        <v>138.21</v>
      </c>
      <c r="H171">
        <v>540.80999999999995</v>
      </c>
      <c r="I171">
        <v>0</v>
      </c>
    </row>
    <row r="172" spans="1:9">
      <c r="A172" t="s">
        <v>264</v>
      </c>
      <c r="B172">
        <v>338.57920000000001</v>
      </c>
      <c r="C172">
        <v>32.796700000000001</v>
      </c>
      <c r="D172">
        <v>39.3767</v>
      </c>
      <c r="E172">
        <v>40.321199999999997</v>
      </c>
      <c r="F172">
        <v>48514.93</v>
      </c>
      <c r="G172">
        <v>137.16999999999999</v>
      </c>
      <c r="H172">
        <v>540.09</v>
      </c>
      <c r="I172">
        <v>0</v>
      </c>
    </row>
    <row r="173" spans="1:9">
      <c r="A173" t="s">
        <v>265</v>
      </c>
      <c r="B173">
        <v>5697.6808000000001</v>
      </c>
      <c r="C173">
        <v>38.960999999999999</v>
      </c>
      <c r="D173">
        <v>41.966999999999999</v>
      </c>
      <c r="E173">
        <v>43.247500000000002</v>
      </c>
      <c r="F173">
        <v>88417.5</v>
      </c>
      <c r="G173">
        <v>111.63</v>
      </c>
      <c r="H173">
        <v>542.6</v>
      </c>
      <c r="I173">
        <v>0</v>
      </c>
    </row>
    <row r="174" spans="1:9">
      <c r="A174" t="s">
        <v>266</v>
      </c>
      <c r="B174">
        <v>2545.0279999999998</v>
      </c>
      <c r="C174">
        <v>35.549500000000002</v>
      </c>
      <c r="D174">
        <v>39.706299999999999</v>
      </c>
      <c r="E174">
        <v>40.849400000000003</v>
      </c>
      <c r="F174">
        <v>69959.08</v>
      </c>
      <c r="G174">
        <v>113.65</v>
      </c>
      <c r="H174">
        <v>541.72</v>
      </c>
      <c r="I174">
        <v>0</v>
      </c>
    </row>
    <row r="175" spans="1:9">
      <c r="A175" t="s">
        <v>267</v>
      </c>
      <c r="B175">
        <v>1195.5216</v>
      </c>
      <c r="C175">
        <v>32.4283</v>
      </c>
      <c r="D175">
        <v>37.981699999999996</v>
      </c>
      <c r="E175">
        <v>38.936100000000003</v>
      </c>
      <c r="F175">
        <v>57852.99</v>
      </c>
      <c r="G175">
        <v>134.22999999999999</v>
      </c>
      <c r="H175">
        <v>542.75</v>
      </c>
      <c r="I175">
        <v>0</v>
      </c>
    </row>
    <row r="176" spans="1:9">
      <c r="A176" t="s">
        <v>268</v>
      </c>
      <c r="B176">
        <v>576.63760000000002</v>
      </c>
      <c r="C176">
        <v>29.636600000000001</v>
      </c>
      <c r="D176">
        <v>36.5441</v>
      </c>
      <c r="E176">
        <v>37.325499999999998</v>
      </c>
      <c r="F176">
        <v>46734.33</v>
      </c>
      <c r="G176">
        <v>147.58000000000001</v>
      </c>
      <c r="H176">
        <v>540.39</v>
      </c>
      <c r="I176">
        <v>0</v>
      </c>
    </row>
    <row r="177" spans="1:9">
      <c r="A177" t="s">
        <v>269</v>
      </c>
      <c r="B177">
        <v>4222.9920000000002</v>
      </c>
      <c r="C177">
        <v>39.444099999999999</v>
      </c>
      <c r="D177">
        <v>41.325600000000001</v>
      </c>
      <c r="E177">
        <v>42.944499999999998</v>
      </c>
      <c r="F177">
        <v>83855.399999999994</v>
      </c>
      <c r="G177">
        <v>73.19</v>
      </c>
      <c r="H177">
        <v>542.38</v>
      </c>
      <c r="I177">
        <v>0</v>
      </c>
    </row>
    <row r="178" spans="1:9">
      <c r="A178" t="s">
        <v>270</v>
      </c>
      <c r="B178">
        <v>1683.46</v>
      </c>
      <c r="C178">
        <v>36.157699999999998</v>
      </c>
      <c r="D178">
        <v>39.366900000000001</v>
      </c>
      <c r="E178">
        <v>41.070399999999999</v>
      </c>
      <c r="F178">
        <v>65490.34</v>
      </c>
      <c r="G178">
        <v>63.72</v>
      </c>
      <c r="H178">
        <v>542.59</v>
      </c>
      <c r="I178">
        <v>0</v>
      </c>
    </row>
    <row r="179" spans="1:9">
      <c r="A179" t="s">
        <v>271</v>
      </c>
      <c r="B179">
        <v>787.14</v>
      </c>
      <c r="C179">
        <v>33.352699999999999</v>
      </c>
      <c r="D179">
        <v>37.740099999999998</v>
      </c>
      <c r="E179">
        <v>39.572600000000001</v>
      </c>
      <c r="F179">
        <v>54706.34</v>
      </c>
      <c r="G179">
        <v>59.71</v>
      </c>
      <c r="H179">
        <v>540.69000000000005</v>
      </c>
      <c r="I179">
        <v>0</v>
      </c>
    </row>
    <row r="180" spans="1:9">
      <c r="A180" t="s">
        <v>272</v>
      </c>
      <c r="B180">
        <v>388.55680000000001</v>
      </c>
      <c r="C180">
        <v>30.779399999999999</v>
      </c>
      <c r="D180">
        <v>36.420900000000003</v>
      </c>
      <c r="E180">
        <v>38.348500000000001</v>
      </c>
      <c r="F180">
        <v>43961.62</v>
      </c>
      <c r="G180">
        <v>60.51</v>
      </c>
      <c r="H180">
        <v>540.97</v>
      </c>
      <c r="I180">
        <v>0</v>
      </c>
    </row>
    <row r="181" spans="1:9">
      <c r="A181" t="s">
        <v>273</v>
      </c>
      <c r="B181">
        <v>1257.9808</v>
      </c>
      <c r="C181">
        <v>41.477499999999999</v>
      </c>
      <c r="D181">
        <v>44.4024</v>
      </c>
      <c r="E181">
        <v>43.362000000000002</v>
      </c>
      <c r="F181">
        <v>27617</v>
      </c>
      <c r="G181">
        <v>32.76</v>
      </c>
      <c r="H181">
        <v>278.89999999999998</v>
      </c>
      <c r="I181">
        <v>0</v>
      </c>
    </row>
    <row r="182" spans="1:9">
      <c r="A182" t="s">
        <v>274</v>
      </c>
      <c r="B182">
        <v>607.37360000000001</v>
      </c>
      <c r="C182">
        <v>37.491199999999999</v>
      </c>
      <c r="D182">
        <v>42.066000000000003</v>
      </c>
      <c r="E182">
        <v>40.696599999999997</v>
      </c>
      <c r="F182">
        <v>22967.759999999998</v>
      </c>
      <c r="G182">
        <v>34.72</v>
      </c>
      <c r="H182">
        <v>260.11</v>
      </c>
      <c r="I182">
        <v>0</v>
      </c>
    </row>
    <row r="183" spans="1:9">
      <c r="A183" t="s">
        <v>275</v>
      </c>
      <c r="B183">
        <v>297.01839999999999</v>
      </c>
      <c r="C183">
        <v>34.041600000000003</v>
      </c>
      <c r="D183">
        <v>40.1892</v>
      </c>
      <c r="E183">
        <v>38.617199999999997</v>
      </c>
      <c r="F183">
        <v>19028.02</v>
      </c>
      <c r="G183">
        <v>36.479999999999997</v>
      </c>
      <c r="H183">
        <v>260.08999999999997</v>
      </c>
      <c r="I183">
        <v>0</v>
      </c>
    </row>
    <row r="184" spans="1:9">
      <c r="A184" t="s">
        <v>276</v>
      </c>
      <c r="B184">
        <v>152.3888</v>
      </c>
      <c r="C184">
        <v>31.194900000000001</v>
      </c>
      <c r="D184">
        <v>38.651299999999999</v>
      </c>
      <c r="E184">
        <v>36.891500000000001</v>
      </c>
      <c r="F184">
        <v>15527.92</v>
      </c>
      <c r="G184">
        <v>37.43</v>
      </c>
      <c r="H184">
        <v>260.02999999999997</v>
      </c>
      <c r="I184">
        <v>0</v>
      </c>
    </row>
    <row r="185" spans="1:9">
      <c r="A185" t="s">
        <v>277</v>
      </c>
      <c r="B185">
        <v>1328.9376</v>
      </c>
      <c r="C185">
        <v>38.664099999999998</v>
      </c>
      <c r="D185">
        <v>43.997700000000002</v>
      </c>
      <c r="E185">
        <v>45.381399999999999</v>
      </c>
      <c r="F185">
        <v>20871.400000000001</v>
      </c>
      <c r="G185">
        <v>35.57</v>
      </c>
      <c r="H185">
        <v>279.07</v>
      </c>
      <c r="I185">
        <v>0</v>
      </c>
    </row>
    <row r="186" spans="1:9">
      <c r="A186" t="s">
        <v>278</v>
      </c>
      <c r="B186">
        <v>480.62400000000002</v>
      </c>
      <c r="C186">
        <v>35.408000000000001</v>
      </c>
      <c r="D186">
        <v>41.924500000000002</v>
      </c>
      <c r="E186">
        <v>43.192500000000003</v>
      </c>
      <c r="F186">
        <v>14144.29</v>
      </c>
      <c r="G186">
        <v>30.95</v>
      </c>
      <c r="H186">
        <v>260.16000000000003</v>
      </c>
      <c r="I186">
        <v>0</v>
      </c>
    </row>
    <row r="187" spans="1:9">
      <c r="A187" t="s">
        <v>279</v>
      </c>
      <c r="B187">
        <v>209.8064</v>
      </c>
      <c r="C187">
        <v>32.629899999999999</v>
      </c>
      <c r="D187">
        <v>40.186599999999999</v>
      </c>
      <c r="E187">
        <v>41.409599999999998</v>
      </c>
      <c r="F187">
        <v>9410.33</v>
      </c>
      <c r="G187">
        <v>30.82</v>
      </c>
      <c r="H187">
        <v>260.06</v>
      </c>
      <c r="I187">
        <v>0</v>
      </c>
    </row>
    <row r="188" spans="1:9">
      <c r="A188" t="s">
        <v>280</v>
      </c>
      <c r="B188">
        <v>110.604</v>
      </c>
      <c r="C188">
        <v>30.169799999999999</v>
      </c>
      <c r="D188">
        <v>38.924599999999998</v>
      </c>
      <c r="E188">
        <v>40.057400000000001</v>
      </c>
      <c r="F188">
        <v>7309.7</v>
      </c>
      <c r="G188">
        <v>32.82</v>
      </c>
      <c r="H188">
        <v>260.08</v>
      </c>
      <c r="I188">
        <v>0</v>
      </c>
    </row>
    <row r="189" spans="1:9">
      <c r="A189" t="s">
        <v>281</v>
      </c>
      <c r="B189">
        <v>1367.7167999999999</v>
      </c>
      <c r="C189">
        <v>38.788899999999998</v>
      </c>
      <c r="D189">
        <v>41.6601</v>
      </c>
      <c r="E189">
        <v>42.914299999999997</v>
      </c>
      <c r="F189">
        <v>21168.23</v>
      </c>
      <c r="G189">
        <v>33.96</v>
      </c>
      <c r="H189">
        <v>280.08999999999997</v>
      </c>
      <c r="I189">
        <v>0</v>
      </c>
    </row>
    <row r="190" spans="1:9">
      <c r="A190" t="s">
        <v>282</v>
      </c>
      <c r="B190">
        <v>607.28</v>
      </c>
      <c r="C190">
        <v>35.450699999999998</v>
      </c>
      <c r="D190">
        <v>39.401600000000002</v>
      </c>
      <c r="E190">
        <v>40.460900000000002</v>
      </c>
      <c r="F190">
        <v>16832.82</v>
      </c>
      <c r="G190">
        <v>37.19</v>
      </c>
      <c r="H190">
        <v>279.42</v>
      </c>
      <c r="I190">
        <v>0</v>
      </c>
    </row>
    <row r="191" spans="1:9">
      <c r="A191" t="s">
        <v>283</v>
      </c>
      <c r="B191">
        <v>286.46080000000001</v>
      </c>
      <c r="C191">
        <v>32.371499999999997</v>
      </c>
      <c r="D191">
        <v>37.549599999999998</v>
      </c>
      <c r="E191">
        <v>38.361400000000003</v>
      </c>
      <c r="F191">
        <v>13431.37</v>
      </c>
      <c r="G191">
        <v>44.09</v>
      </c>
      <c r="H191">
        <v>260.01</v>
      </c>
      <c r="I191">
        <v>0</v>
      </c>
    </row>
    <row r="192" spans="1:9">
      <c r="A192" t="s">
        <v>284</v>
      </c>
      <c r="B192">
        <v>137.28559999999999</v>
      </c>
      <c r="C192">
        <v>29.565000000000001</v>
      </c>
      <c r="D192">
        <v>35.9863</v>
      </c>
      <c r="E192">
        <v>36.645499999999998</v>
      </c>
      <c r="F192">
        <v>10564.4</v>
      </c>
      <c r="G192">
        <v>45.5</v>
      </c>
      <c r="H192">
        <v>260.07</v>
      </c>
      <c r="I192">
        <v>0</v>
      </c>
    </row>
    <row r="193" spans="1:9">
      <c r="A193" t="s">
        <v>285</v>
      </c>
      <c r="B193" s="87">
        <v>1013.4952</v>
      </c>
      <c r="C193" s="87">
        <v>40.134300000000003</v>
      </c>
      <c r="D193" s="87">
        <v>41.637599999999999</v>
      </c>
      <c r="E193" s="87">
        <v>42.785600000000002</v>
      </c>
      <c r="F193" s="87">
        <v>20503.439999999999</v>
      </c>
      <c r="G193" s="87">
        <v>22.88</v>
      </c>
      <c r="H193">
        <v>279.77</v>
      </c>
      <c r="I193">
        <v>0</v>
      </c>
    </row>
    <row r="194" spans="1:9">
      <c r="A194" t="s">
        <v>286</v>
      </c>
      <c r="B194" s="87">
        <v>487.44799999999998</v>
      </c>
      <c r="C194" s="87">
        <v>36.2836</v>
      </c>
      <c r="D194" s="87">
        <v>39.264699999999998</v>
      </c>
      <c r="E194" s="87">
        <v>40.503599999999999</v>
      </c>
      <c r="F194" s="87">
        <v>16507.64</v>
      </c>
      <c r="G194" s="87">
        <v>22.59</v>
      </c>
      <c r="H194">
        <v>277.27</v>
      </c>
      <c r="I194">
        <v>0</v>
      </c>
    </row>
    <row r="195" spans="1:9">
      <c r="A195" t="s">
        <v>287</v>
      </c>
      <c r="B195" s="87">
        <v>237.21119999999999</v>
      </c>
      <c r="C195" s="87">
        <v>32.839399999999998</v>
      </c>
      <c r="D195" s="87">
        <v>37.461500000000001</v>
      </c>
      <c r="E195" s="87">
        <v>38.756599999999999</v>
      </c>
      <c r="F195" s="87">
        <v>13659.86</v>
      </c>
      <c r="G195" s="87">
        <v>23.41</v>
      </c>
      <c r="H195">
        <v>278.26</v>
      </c>
      <c r="I195">
        <v>0</v>
      </c>
    </row>
    <row r="196" spans="1:9">
      <c r="A196" t="s">
        <v>288</v>
      </c>
      <c r="B196" s="87">
        <v>117.30240000000001</v>
      </c>
      <c r="C196" s="87">
        <v>30.009699999999999</v>
      </c>
      <c r="D196" s="87">
        <v>36.029600000000002</v>
      </c>
      <c r="E196" s="87">
        <v>37.212699999999998</v>
      </c>
      <c r="F196" s="87">
        <v>10830.51</v>
      </c>
      <c r="G196" s="87">
        <v>23.58</v>
      </c>
      <c r="H196">
        <v>259.68</v>
      </c>
      <c r="I196">
        <v>0</v>
      </c>
    </row>
    <row r="197" spans="1:9">
      <c r="A197" t="s">
        <v>289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290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291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292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293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294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295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296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297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298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299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300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301</v>
      </c>
      <c r="B209" s="87">
        <v>2971.1208000000001</v>
      </c>
      <c r="C209" s="87">
        <v>41.646599999999999</v>
      </c>
      <c r="D209" s="87">
        <v>43.520499999999998</v>
      </c>
      <c r="E209" s="87">
        <v>44.235500000000002</v>
      </c>
      <c r="F209" s="87">
        <v>82957.36</v>
      </c>
      <c r="G209" s="87">
        <v>75.42</v>
      </c>
      <c r="H209">
        <v>542.80999999999995</v>
      </c>
      <c r="I209">
        <v>0</v>
      </c>
    </row>
    <row r="210" spans="1:9">
      <c r="A210" t="s">
        <v>302</v>
      </c>
      <c r="B210" s="87">
        <v>1428.7344000000001</v>
      </c>
      <c r="C210" s="87">
        <v>38.408900000000003</v>
      </c>
      <c r="D210" s="87">
        <v>41.258800000000001</v>
      </c>
      <c r="E210" s="87">
        <v>41.649900000000002</v>
      </c>
      <c r="F210" s="87">
        <v>72232.36</v>
      </c>
      <c r="G210" s="87">
        <v>78.63</v>
      </c>
      <c r="H210">
        <v>543.22</v>
      </c>
      <c r="I210">
        <v>0</v>
      </c>
    </row>
    <row r="211" spans="1:9">
      <c r="A211" t="s">
        <v>303</v>
      </c>
      <c r="B211" s="87">
        <v>714.20399999999995</v>
      </c>
      <c r="C211" s="87">
        <v>35.293900000000001</v>
      </c>
      <c r="D211" s="87">
        <v>39.276499999999999</v>
      </c>
      <c r="E211" s="87">
        <v>39.518000000000001</v>
      </c>
      <c r="F211" s="87">
        <v>59482.46</v>
      </c>
      <c r="G211" s="87">
        <v>89.68</v>
      </c>
      <c r="H211">
        <v>541.87</v>
      </c>
      <c r="I211">
        <v>0</v>
      </c>
    </row>
    <row r="212" spans="1:9">
      <c r="A212" t="s">
        <v>304</v>
      </c>
      <c r="B212" s="87">
        <v>378.90640000000002</v>
      </c>
      <c r="C212" s="87">
        <v>32.611899999999999</v>
      </c>
      <c r="D212" s="87">
        <v>37.659399999999998</v>
      </c>
      <c r="E212" s="87">
        <v>37.704099999999997</v>
      </c>
      <c r="F212" s="87">
        <v>49017.48</v>
      </c>
      <c r="G212" s="87">
        <v>99.58</v>
      </c>
      <c r="H212">
        <v>541.98</v>
      </c>
      <c r="I212">
        <v>0</v>
      </c>
    </row>
    <row r="213" spans="1:9">
      <c r="A213" t="s">
        <v>305</v>
      </c>
      <c r="B213" s="87">
        <v>4491.9138999999996</v>
      </c>
      <c r="C213" s="87">
        <v>43.215600000000002</v>
      </c>
      <c r="D213" s="87">
        <v>46.573099999999997</v>
      </c>
      <c r="E213" s="87">
        <v>46.500700000000002</v>
      </c>
      <c r="F213" s="87">
        <v>200322.71</v>
      </c>
      <c r="G213" s="87">
        <v>144.54</v>
      </c>
      <c r="H213">
        <v>813.56</v>
      </c>
      <c r="I213">
        <v>0</v>
      </c>
    </row>
    <row r="214" spans="1:9">
      <c r="A214" t="s">
        <v>306</v>
      </c>
      <c r="B214" s="87">
        <v>2267.4205999999999</v>
      </c>
      <c r="C214" s="87">
        <v>39.231699999999996</v>
      </c>
      <c r="D214" s="87">
        <v>44.271700000000003</v>
      </c>
      <c r="E214" s="87">
        <v>43.966999999999999</v>
      </c>
      <c r="F214" s="87">
        <v>163191.79</v>
      </c>
      <c r="G214" s="87">
        <v>148.88</v>
      </c>
      <c r="H214">
        <v>814.46</v>
      </c>
      <c r="I214">
        <v>0</v>
      </c>
    </row>
    <row r="215" spans="1:9">
      <c r="A215" t="s">
        <v>307</v>
      </c>
      <c r="B215" s="87">
        <v>1154.6659</v>
      </c>
      <c r="C215" s="87">
        <v>35.648299999999999</v>
      </c>
      <c r="D215" s="87">
        <v>42.422199999999997</v>
      </c>
      <c r="E215" s="87">
        <v>41.825899999999997</v>
      </c>
      <c r="F215" s="87">
        <v>128723.33</v>
      </c>
      <c r="G215" s="87">
        <v>155.83000000000001</v>
      </c>
      <c r="H215">
        <v>813.16</v>
      </c>
      <c r="I215">
        <v>0</v>
      </c>
    </row>
    <row r="216" spans="1:9">
      <c r="A216" t="s">
        <v>308</v>
      </c>
      <c r="B216" s="87">
        <v>581.15620000000001</v>
      </c>
      <c r="C216" s="87">
        <v>32.553800000000003</v>
      </c>
      <c r="D216" s="87">
        <v>40.817399999999999</v>
      </c>
      <c r="E216" s="87">
        <v>39.731900000000003</v>
      </c>
      <c r="F216" s="87">
        <v>103260.84</v>
      </c>
      <c r="G216" s="87">
        <v>162.72</v>
      </c>
      <c r="H216">
        <v>815.79</v>
      </c>
      <c r="I216">
        <v>0</v>
      </c>
    </row>
    <row r="217" spans="1:9">
      <c r="A217" t="s">
        <v>309</v>
      </c>
      <c r="B217" s="87">
        <v>1311.6271999999999</v>
      </c>
      <c r="C217" s="87">
        <v>50.148200000000003</v>
      </c>
      <c r="D217" s="87">
        <v>48.109699999999997</v>
      </c>
      <c r="E217" s="87">
        <v>48.010199999999998</v>
      </c>
      <c r="F217" s="87">
        <v>22473.47</v>
      </c>
      <c r="G217" s="87">
        <v>20.66</v>
      </c>
      <c r="H217">
        <v>936.1</v>
      </c>
      <c r="I217">
        <v>0</v>
      </c>
    </row>
    <row r="218" spans="1:9">
      <c r="A218" t="s">
        <v>310</v>
      </c>
      <c r="B218" s="87">
        <v>1003.1792</v>
      </c>
      <c r="C218" s="87">
        <v>46.042400000000001</v>
      </c>
      <c r="D218" s="87">
        <v>43.986199999999997</v>
      </c>
      <c r="E218" s="87">
        <v>44.320399999999999</v>
      </c>
      <c r="F218" s="87">
        <v>20657.189999999999</v>
      </c>
      <c r="G218" s="87">
        <v>19.93</v>
      </c>
      <c r="H218">
        <v>944.06</v>
      </c>
      <c r="I218">
        <v>0</v>
      </c>
    </row>
    <row r="219" spans="1:9">
      <c r="A219" t="s">
        <v>311</v>
      </c>
      <c r="B219" s="87">
        <v>762.81200000000001</v>
      </c>
      <c r="C219" s="87">
        <v>41.411700000000003</v>
      </c>
      <c r="D219" s="87">
        <v>40.762900000000002</v>
      </c>
      <c r="E219" s="87">
        <v>41.606999999999999</v>
      </c>
      <c r="F219" s="87">
        <v>19810.400000000001</v>
      </c>
      <c r="G219" s="87">
        <v>19.64</v>
      </c>
      <c r="H219">
        <v>939.82</v>
      </c>
      <c r="I219">
        <v>0</v>
      </c>
    </row>
    <row r="220" spans="1:9">
      <c r="A220" t="s">
        <v>312</v>
      </c>
      <c r="B220" s="87">
        <v>572.02800000000002</v>
      </c>
      <c r="C220" s="87">
        <v>36.648699999999998</v>
      </c>
      <c r="D220" s="87">
        <v>38.7819</v>
      </c>
      <c r="E220" s="87">
        <v>39.892800000000001</v>
      </c>
      <c r="F220" s="87">
        <v>19002.09</v>
      </c>
      <c r="G220" s="87">
        <v>22.74</v>
      </c>
      <c r="H220">
        <v>940.97</v>
      </c>
      <c r="I220">
        <v>0</v>
      </c>
    </row>
    <row r="221" spans="1:9">
      <c r="A221" t="s">
        <v>313</v>
      </c>
      <c r="B221" s="87">
        <v>710.55010000000004</v>
      </c>
      <c r="C221" s="87">
        <v>52.165700000000001</v>
      </c>
      <c r="D221" s="87">
        <v>54.779000000000003</v>
      </c>
      <c r="E221" s="87">
        <v>55.752699999999997</v>
      </c>
      <c r="F221" s="87">
        <v>68346.02</v>
      </c>
      <c r="G221" s="87">
        <v>64.78</v>
      </c>
      <c r="H221">
        <v>723.21</v>
      </c>
      <c r="I221">
        <v>0</v>
      </c>
    </row>
    <row r="222" spans="1:9">
      <c r="A222" t="s">
        <v>314</v>
      </c>
      <c r="B222" s="87">
        <v>431.08670000000001</v>
      </c>
      <c r="C222" s="87">
        <v>48.321399999999997</v>
      </c>
      <c r="D222" s="87">
        <v>52.040199999999999</v>
      </c>
      <c r="E222" s="87">
        <v>53.181800000000003</v>
      </c>
      <c r="F222" s="87">
        <v>59817.74</v>
      </c>
      <c r="G222" s="87">
        <v>67.55</v>
      </c>
      <c r="H222">
        <v>726.43</v>
      </c>
      <c r="I222">
        <v>0</v>
      </c>
    </row>
    <row r="223" spans="1:9">
      <c r="A223" t="s">
        <v>315</v>
      </c>
      <c r="B223" s="87">
        <v>272.06180000000001</v>
      </c>
      <c r="C223" s="87">
        <v>44.730600000000003</v>
      </c>
      <c r="D223" s="87">
        <v>49.628900000000002</v>
      </c>
      <c r="E223" s="87">
        <v>50.991399999999999</v>
      </c>
      <c r="F223" s="87">
        <v>52459.98</v>
      </c>
      <c r="G223" s="87">
        <v>70.45</v>
      </c>
      <c r="H223">
        <v>727.75</v>
      </c>
      <c r="I223">
        <v>0</v>
      </c>
    </row>
    <row r="224" spans="1:9">
      <c r="A224" t="s">
        <v>316</v>
      </c>
      <c r="B224" s="87">
        <v>179.36930000000001</v>
      </c>
      <c r="C224" s="87">
        <v>41.289900000000003</v>
      </c>
      <c r="D224" s="87">
        <v>47.421199999999999</v>
      </c>
      <c r="E224" s="87">
        <v>49.203200000000002</v>
      </c>
      <c r="F224" s="87">
        <v>46638.95</v>
      </c>
      <c r="G224" s="87">
        <v>69.760000000000005</v>
      </c>
      <c r="H224">
        <v>726.1</v>
      </c>
      <c r="I224">
        <v>0</v>
      </c>
    </row>
    <row r="225" spans="1:9">
      <c r="A225" t="s">
        <v>317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318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319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320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321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322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323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324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325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326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327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328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329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330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331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332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333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334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335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336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337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338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339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340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341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342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343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344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345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346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347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348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349</v>
      </c>
      <c r="B257" s="87">
        <v>4625.6351999999997</v>
      </c>
      <c r="C257" s="87">
        <v>41.981099999999998</v>
      </c>
      <c r="D257" s="87">
        <v>43.561999999999998</v>
      </c>
      <c r="E257" s="87">
        <v>45.101999999999997</v>
      </c>
      <c r="F257" s="87">
        <v>133968.71</v>
      </c>
      <c r="G257" s="87">
        <v>129.08000000000001</v>
      </c>
      <c r="H257">
        <v>886.73</v>
      </c>
      <c r="I257">
        <v>0</v>
      </c>
    </row>
    <row r="258" spans="1:9">
      <c r="A258" t="s">
        <v>350</v>
      </c>
      <c r="B258" s="87">
        <v>2090.8296</v>
      </c>
      <c r="C258" s="87">
        <v>39.951000000000001</v>
      </c>
      <c r="D258" s="87">
        <v>41.981000000000002</v>
      </c>
      <c r="E258" s="87">
        <v>43.093600000000002</v>
      </c>
      <c r="F258" s="87">
        <v>100430.02</v>
      </c>
      <c r="G258" s="87">
        <v>122.11</v>
      </c>
      <c r="H258">
        <v>889.16</v>
      </c>
      <c r="I258">
        <v>0</v>
      </c>
    </row>
    <row r="259" spans="1:9">
      <c r="A259" t="s">
        <v>351</v>
      </c>
      <c r="B259" s="87">
        <v>1027.4312</v>
      </c>
      <c r="C259" s="87">
        <v>37.488700000000001</v>
      </c>
      <c r="D259" s="87">
        <v>40.8322</v>
      </c>
      <c r="E259" s="87">
        <v>41.850200000000001</v>
      </c>
      <c r="F259" s="87">
        <v>83456.95</v>
      </c>
      <c r="G259" s="87">
        <v>110.61</v>
      </c>
      <c r="H259">
        <v>888.22</v>
      </c>
      <c r="I259">
        <v>0</v>
      </c>
    </row>
    <row r="260" spans="1:9">
      <c r="A260" t="s">
        <v>352</v>
      </c>
      <c r="B260" s="87">
        <v>508.88</v>
      </c>
      <c r="C260" s="87">
        <v>34.9238</v>
      </c>
      <c r="D260" s="87">
        <v>39.959299999999999</v>
      </c>
      <c r="E260" s="87">
        <v>41.099600000000002</v>
      </c>
      <c r="F260" s="87">
        <v>71022.429999999993</v>
      </c>
      <c r="G260" s="87">
        <v>104.15</v>
      </c>
      <c r="H260">
        <v>889.02</v>
      </c>
      <c r="I260">
        <v>0</v>
      </c>
    </row>
    <row r="261" spans="1:9">
      <c r="A261" t="s">
        <v>353</v>
      </c>
      <c r="B261" s="87">
        <v>7308.8191999999999</v>
      </c>
      <c r="C261" s="87">
        <v>40.194099999999999</v>
      </c>
      <c r="D261" s="87">
        <v>42.112499999999997</v>
      </c>
      <c r="E261" s="87">
        <v>43.328400000000002</v>
      </c>
      <c r="F261" s="87">
        <v>109817.73</v>
      </c>
      <c r="G261" s="87">
        <v>133.69</v>
      </c>
      <c r="H261">
        <v>892.6</v>
      </c>
      <c r="I261">
        <v>0</v>
      </c>
    </row>
    <row r="262" spans="1:9">
      <c r="A262" t="s">
        <v>354</v>
      </c>
      <c r="B262" s="87">
        <v>2907.8647999999998</v>
      </c>
      <c r="C262" s="87">
        <v>37.279299999999999</v>
      </c>
      <c r="D262" s="87">
        <v>39.964399999999998</v>
      </c>
      <c r="E262" s="87">
        <v>41.013399999999997</v>
      </c>
      <c r="F262" s="87">
        <v>83521.009999999995</v>
      </c>
      <c r="G262" s="87">
        <v>103.34</v>
      </c>
      <c r="H262">
        <v>886.81</v>
      </c>
      <c r="I262">
        <v>0</v>
      </c>
    </row>
    <row r="263" spans="1:9">
      <c r="A263" t="s">
        <v>355</v>
      </c>
      <c r="B263" s="87">
        <v>1239.4344000000001</v>
      </c>
      <c r="C263" s="87">
        <v>34.478099999999998</v>
      </c>
      <c r="D263" s="87">
        <v>38.408499999999997</v>
      </c>
      <c r="E263" s="87">
        <v>39.654499999999999</v>
      </c>
      <c r="F263" s="87">
        <v>70853.53</v>
      </c>
      <c r="G263" s="87">
        <v>89.5</v>
      </c>
      <c r="H263">
        <v>892.35</v>
      </c>
      <c r="I263">
        <v>0</v>
      </c>
    </row>
    <row r="264" spans="1:9">
      <c r="A264" t="s">
        <v>356</v>
      </c>
      <c r="B264" s="87">
        <v>529.77200000000005</v>
      </c>
      <c r="C264" s="87">
        <v>31.886099999999999</v>
      </c>
      <c r="D264" s="87">
        <v>37.302199999999999</v>
      </c>
      <c r="E264" s="87">
        <v>38.894100000000002</v>
      </c>
      <c r="F264" s="87">
        <v>53612.06</v>
      </c>
      <c r="G264" s="87">
        <v>95.32</v>
      </c>
      <c r="H264">
        <v>893.31</v>
      </c>
      <c r="I264">
        <v>0</v>
      </c>
    </row>
    <row r="265" spans="1:9">
      <c r="A265" t="s">
        <v>357</v>
      </c>
      <c r="B265" s="87">
        <v>18001.880799999999</v>
      </c>
      <c r="C265" s="87">
        <v>38.905000000000001</v>
      </c>
      <c r="D265" s="87">
        <v>40.219299999999997</v>
      </c>
      <c r="E265" s="87">
        <v>43.642200000000003</v>
      </c>
      <c r="F265" s="87">
        <v>341932.82</v>
      </c>
      <c r="G265" s="87">
        <v>299.76</v>
      </c>
      <c r="H265">
        <v>879.54</v>
      </c>
      <c r="I265">
        <v>0</v>
      </c>
    </row>
    <row r="266" spans="1:9">
      <c r="A266" t="s">
        <v>358</v>
      </c>
      <c r="B266" s="87">
        <v>4735.8591999999999</v>
      </c>
      <c r="C266" s="87">
        <v>37.013100000000001</v>
      </c>
      <c r="D266" s="87">
        <v>39.134500000000003</v>
      </c>
      <c r="E266" s="87">
        <v>41.837600000000002</v>
      </c>
      <c r="F266" s="87">
        <v>225636.16</v>
      </c>
      <c r="G266" s="87">
        <v>232.53</v>
      </c>
      <c r="H266">
        <v>867.22</v>
      </c>
      <c r="I266">
        <v>0</v>
      </c>
    </row>
    <row r="267" spans="1:9">
      <c r="A267" t="s">
        <v>359</v>
      </c>
      <c r="B267" s="87">
        <v>2134.152</v>
      </c>
      <c r="C267" s="87">
        <v>34.989899999999999</v>
      </c>
      <c r="D267" s="87">
        <v>38.288699999999999</v>
      </c>
      <c r="E267" s="87">
        <v>40.3172</v>
      </c>
      <c r="F267" s="87">
        <v>190667.85</v>
      </c>
      <c r="G267" s="87">
        <v>230.57</v>
      </c>
      <c r="H267">
        <v>890.6</v>
      </c>
      <c r="I267">
        <v>0</v>
      </c>
    </row>
    <row r="268" spans="1:9">
      <c r="A268" t="s">
        <v>360</v>
      </c>
      <c r="B268" s="87">
        <v>1052.56</v>
      </c>
      <c r="C268" s="87">
        <v>32.766100000000002</v>
      </c>
      <c r="D268" s="87">
        <v>37.469700000000003</v>
      </c>
      <c r="E268" s="87">
        <v>38.978700000000003</v>
      </c>
      <c r="F268" s="87">
        <v>153117.98000000001</v>
      </c>
      <c r="G268" s="87">
        <v>233.37</v>
      </c>
      <c r="H268">
        <v>887.75</v>
      </c>
      <c r="I268">
        <v>0</v>
      </c>
    </row>
    <row r="269" spans="1:9">
      <c r="A269" t="s">
        <v>361</v>
      </c>
      <c r="B269" s="87">
        <v>17572.063999999998</v>
      </c>
      <c r="C269" s="87">
        <v>39.660400000000003</v>
      </c>
      <c r="D269" s="87">
        <v>44.0428</v>
      </c>
      <c r="E269" s="87">
        <v>45.433700000000002</v>
      </c>
      <c r="F269" s="87">
        <v>420123.69</v>
      </c>
      <c r="G269" s="87">
        <v>264.04000000000002</v>
      </c>
      <c r="H269">
        <v>892.2</v>
      </c>
      <c r="I269">
        <v>0</v>
      </c>
    </row>
    <row r="270" spans="1:9">
      <c r="A270" t="s">
        <v>362</v>
      </c>
      <c r="B270" s="87">
        <v>5800.9704000000002</v>
      </c>
      <c r="C270" s="87">
        <v>37.846699999999998</v>
      </c>
      <c r="D270" s="87">
        <v>42.778100000000002</v>
      </c>
      <c r="E270" s="87">
        <v>43.457599999999999</v>
      </c>
      <c r="F270" s="87">
        <v>307142.59999999998</v>
      </c>
      <c r="G270" s="87">
        <v>225.17</v>
      </c>
      <c r="H270">
        <v>861.58</v>
      </c>
      <c r="I270">
        <v>0</v>
      </c>
    </row>
    <row r="271" spans="1:9">
      <c r="A271" t="s">
        <v>363</v>
      </c>
      <c r="B271" s="87">
        <v>2731.3391999999999</v>
      </c>
      <c r="C271" s="87">
        <v>35.991</v>
      </c>
      <c r="D271" s="87">
        <v>41.702300000000001</v>
      </c>
      <c r="E271" s="87">
        <v>41.904899999999998</v>
      </c>
      <c r="F271" s="87">
        <v>235518.47</v>
      </c>
      <c r="G271" s="87">
        <v>201.7</v>
      </c>
      <c r="H271">
        <v>877.05</v>
      </c>
      <c r="I271">
        <v>0</v>
      </c>
    </row>
    <row r="272" spans="1:9">
      <c r="A272" t="s">
        <v>364</v>
      </c>
      <c r="B272" s="87">
        <v>1401.1736000000001</v>
      </c>
      <c r="C272" s="87">
        <v>33.967100000000002</v>
      </c>
      <c r="D272" s="87">
        <v>40.729599999999998</v>
      </c>
      <c r="E272" s="87">
        <v>40.500999999999998</v>
      </c>
      <c r="F272" s="87">
        <v>192789.45</v>
      </c>
      <c r="G272" s="87">
        <v>184.39</v>
      </c>
      <c r="H272">
        <v>886.94</v>
      </c>
      <c r="I272">
        <v>0</v>
      </c>
    </row>
    <row r="273" spans="1:9">
      <c r="A273" t="s">
        <v>365</v>
      </c>
      <c r="B273" s="87">
        <v>47905.926399999997</v>
      </c>
      <c r="C273" s="87">
        <v>38.350999999999999</v>
      </c>
      <c r="D273" s="87">
        <v>42.134900000000002</v>
      </c>
      <c r="E273" s="87">
        <v>44.2971</v>
      </c>
      <c r="F273" s="87">
        <v>388431.12</v>
      </c>
      <c r="G273" s="87">
        <v>439.71</v>
      </c>
      <c r="H273">
        <v>862.34</v>
      </c>
      <c r="I273">
        <v>0</v>
      </c>
    </row>
    <row r="274" spans="1:9">
      <c r="A274" t="s">
        <v>366</v>
      </c>
      <c r="B274" s="87">
        <v>7101.3127999999997</v>
      </c>
      <c r="C274" s="87">
        <v>35.627699999999997</v>
      </c>
      <c r="D274" s="87">
        <v>40.750500000000002</v>
      </c>
      <c r="E274" s="87">
        <v>43.176900000000003</v>
      </c>
      <c r="F274" s="87">
        <v>199472.67</v>
      </c>
      <c r="G274" s="87">
        <v>250.26</v>
      </c>
      <c r="H274">
        <v>878.89</v>
      </c>
      <c r="I274">
        <v>0</v>
      </c>
    </row>
    <row r="275" spans="1:9">
      <c r="A275" t="s">
        <v>367</v>
      </c>
      <c r="B275" s="87">
        <v>1778.0047999999999</v>
      </c>
      <c r="C275" s="87">
        <v>33.857599999999998</v>
      </c>
      <c r="D275" s="87">
        <v>39.626100000000001</v>
      </c>
      <c r="E275" s="87">
        <v>42.273400000000002</v>
      </c>
      <c r="F275" s="87">
        <v>139658</v>
      </c>
      <c r="G275" s="87">
        <v>175.23</v>
      </c>
      <c r="H275">
        <v>864.39</v>
      </c>
      <c r="I275">
        <v>0</v>
      </c>
    </row>
    <row r="276" spans="1:9">
      <c r="A276" t="s">
        <v>368</v>
      </c>
      <c r="B276" s="87">
        <v>679.096</v>
      </c>
      <c r="C276" s="87">
        <v>31.837900000000001</v>
      </c>
      <c r="D276" s="87">
        <v>38.682499999999997</v>
      </c>
      <c r="E276" s="87">
        <v>41.510300000000001</v>
      </c>
      <c r="F276" s="87">
        <v>100215.46</v>
      </c>
      <c r="G276" s="87">
        <v>153.01</v>
      </c>
      <c r="H276">
        <v>891.36</v>
      </c>
      <c r="I276">
        <v>0</v>
      </c>
    </row>
    <row r="277" spans="1:9">
      <c r="A277" t="s">
        <v>369</v>
      </c>
      <c r="B277" s="87">
        <v>3086.2064</v>
      </c>
      <c r="C277" s="87">
        <v>40.76</v>
      </c>
      <c r="D277" s="87">
        <v>43.266100000000002</v>
      </c>
      <c r="E277" s="87">
        <v>43.996899999999997</v>
      </c>
      <c r="F277" s="87">
        <v>79099.320000000007</v>
      </c>
      <c r="G277" s="87">
        <v>62.08</v>
      </c>
      <c r="H277">
        <v>293.60000000000002</v>
      </c>
      <c r="I277">
        <v>0</v>
      </c>
    </row>
    <row r="278" spans="1:9">
      <c r="A278" t="s">
        <v>370</v>
      </c>
      <c r="B278" s="87">
        <v>1454.6736000000001</v>
      </c>
      <c r="C278" s="87">
        <v>37.563099999999999</v>
      </c>
      <c r="D278" s="87">
        <v>40.884300000000003</v>
      </c>
      <c r="E278" s="87">
        <v>41.370100000000001</v>
      </c>
      <c r="F278" s="87">
        <v>73734.36</v>
      </c>
      <c r="G278" s="87">
        <v>60.06</v>
      </c>
      <c r="H278">
        <v>293.54000000000002</v>
      </c>
      <c r="I278">
        <v>0</v>
      </c>
    </row>
    <row r="279" spans="1:9">
      <c r="A279" t="s">
        <v>371</v>
      </c>
      <c r="B279" s="87">
        <v>716.96079999999995</v>
      </c>
      <c r="C279" s="87">
        <v>34.703299999999999</v>
      </c>
      <c r="D279" s="87">
        <v>39.065100000000001</v>
      </c>
      <c r="E279" s="87">
        <v>39.463000000000001</v>
      </c>
      <c r="F279" s="87">
        <v>62157.33</v>
      </c>
      <c r="G279" s="87">
        <v>54.03</v>
      </c>
      <c r="H279">
        <v>287.2</v>
      </c>
      <c r="I279">
        <v>0</v>
      </c>
    </row>
    <row r="280" spans="1:9">
      <c r="A280" t="s">
        <v>372</v>
      </c>
      <c r="B280" s="87">
        <v>371.01760000000002</v>
      </c>
      <c r="C280" s="87">
        <v>32.265900000000002</v>
      </c>
      <c r="D280" s="87">
        <v>37.448300000000003</v>
      </c>
      <c r="E280" s="87">
        <v>37.7605</v>
      </c>
      <c r="F280" s="87">
        <v>54099.44</v>
      </c>
      <c r="G280" s="87">
        <v>54.49</v>
      </c>
      <c r="H280">
        <v>271.79000000000002</v>
      </c>
      <c r="I280">
        <v>0</v>
      </c>
    </row>
    <row r="281" spans="1:9">
      <c r="A281" t="s">
        <v>373</v>
      </c>
      <c r="B281" s="87">
        <v>3608.788</v>
      </c>
      <c r="C281" s="87">
        <v>40.518999999999998</v>
      </c>
      <c r="D281" s="87">
        <v>43.458100000000002</v>
      </c>
      <c r="E281" s="87">
        <v>44.950400000000002</v>
      </c>
      <c r="F281" s="87">
        <v>93216.83</v>
      </c>
      <c r="G281" s="87">
        <v>103.87</v>
      </c>
      <c r="H281">
        <v>272.79000000000002</v>
      </c>
      <c r="I281">
        <v>0</v>
      </c>
    </row>
    <row r="282" spans="1:9">
      <c r="A282" t="s">
        <v>374</v>
      </c>
      <c r="B282" s="87">
        <v>1604.884</v>
      </c>
      <c r="C282" s="87">
        <v>37.706200000000003</v>
      </c>
      <c r="D282" s="87">
        <v>41.4114</v>
      </c>
      <c r="E282" s="87">
        <v>42.560099999999998</v>
      </c>
      <c r="F282" s="87">
        <v>80112.789999999994</v>
      </c>
      <c r="G282" s="87">
        <v>93.46</v>
      </c>
      <c r="H282">
        <v>294.64999999999998</v>
      </c>
      <c r="I282">
        <v>0</v>
      </c>
    </row>
    <row r="283" spans="1:9">
      <c r="A283" t="s">
        <v>375</v>
      </c>
      <c r="B283" s="87">
        <v>780.41039999999998</v>
      </c>
      <c r="C283" s="87">
        <v>34.756799999999998</v>
      </c>
      <c r="D283" s="87">
        <v>39.780700000000003</v>
      </c>
      <c r="E283" s="87">
        <v>40.7652</v>
      </c>
      <c r="F283" s="87">
        <v>66770.47</v>
      </c>
      <c r="G283" s="87">
        <v>91.56</v>
      </c>
      <c r="H283">
        <v>293.7</v>
      </c>
      <c r="I283">
        <v>0</v>
      </c>
    </row>
    <row r="284" spans="1:9">
      <c r="A284" t="s">
        <v>376</v>
      </c>
      <c r="B284" s="87">
        <v>394.50639999999999</v>
      </c>
      <c r="C284" s="87">
        <v>31.883199999999999</v>
      </c>
      <c r="D284" s="87">
        <v>38.532899999999998</v>
      </c>
      <c r="E284" s="87">
        <v>39.393799999999999</v>
      </c>
      <c r="F284" s="87">
        <v>58077.02</v>
      </c>
      <c r="G284" s="87">
        <v>91.19</v>
      </c>
      <c r="H284">
        <v>272.89999999999998</v>
      </c>
      <c r="I284">
        <v>0</v>
      </c>
    </row>
    <row r="285" spans="1:9">
      <c r="A285" t="s">
        <v>377</v>
      </c>
      <c r="B285" s="87">
        <v>6977.72</v>
      </c>
      <c r="C285" s="87">
        <v>38.770699999999998</v>
      </c>
      <c r="D285" s="87">
        <v>41.349699999999999</v>
      </c>
      <c r="E285" s="87">
        <v>42.336199999999998</v>
      </c>
      <c r="F285" s="87">
        <v>92906.240000000005</v>
      </c>
      <c r="G285" s="87">
        <v>105.52</v>
      </c>
      <c r="H285">
        <v>292.83999999999997</v>
      </c>
      <c r="I285">
        <v>0</v>
      </c>
    </row>
    <row r="286" spans="1:9">
      <c r="A286" t="s">
        <v>378</v>
      </c>
      <c r="B286" s="87">
        <v>2960.076</v>
      </c>
      <c r="C286" s="87">
        <v>34.922600000000003</v>
      </c>
      <c r="D286" s="87">
        <v>38.5777</v>
      </c>
      <c r="E286" s="87">
        <v>39.448900000000002</v>
      </c>
      <c r="F286" s="87">
        <v>72456.92</v>
      </c>
      <c r="G286" s="87">
        <v>98.67</v>
      </c>
      <c r="H286">
        <v>294.7</v>
      </c>
      <c r="I286">
        <v>0</v>
      </c>
    </row>
    <row r="287" spans="1:9">
      <c r="A287" t="s">
        <v>379</v>
      </c>
      <c r="B287" s="87">
        <v>1302.8440000000001</v>
      </c>
      <c r="C287" s="87">
        <v>31.411899999999999</v>
      </c>
      <c r="D287" s="87">
        <v>36.714300000000001</v>
      </c>
      <c r="E287" s="87">
        <v>37.548299999999998</v>
      </c>
      <c r="F287" s="87">
        <v>59806.67</v>
      </c>
      <c r="G287" s="87">
        <v>97.1</v>
      </c>
      <c r="H287">
        <v>295.44</v>
      </c>
      <c r="I287">
        <v>0</v>
      </c>
    </row>
    <row r="288" spans="1:9">
      <c r="A288" t="s">
        <v>380</v>
      </c>
      <c r="B288" s="87">
        <v>561.02959999999996</v>
      </c>
      <c r="C288" s="87">
        <v>28.185600000000001</v>
      </c>
      <c r="D288" s="87">
        <v>35.347499999999997</v>
      </c>
      <c r="E288" s="87">
        <v>36.166200000000003</v>
      </c>
      <c r="F288" s="87">
        <v>49238.15</v>
      </c>
      <c r="G288" s="87">
        <v>97.38</v>
      </c>
      <c r="H288">
        <v>290.25</v>
      </c>
      <c r="I288">
        <v>0</v>
      </c>
    </row>
    <row r="289" spans="1:9">
      <c r="A289" t="s">
        <v>381</v>
      </c>
      <c r="B289">
        <v>5068.9799999999996</v>
      </c>
      <c r="C289">
        <v>40.177599999999998</v>
      </c>
      <c r="D289">
        <v>41.523800000000001</v>
      </c>
      <c r="E289">
        <v>42.9786</v>
      </c>
      <c r="F289">
        <v>78561.78</v>
      </c>
      <c r="G289">
        <v>57.62</v>
      </c>
      <c r="H289">
        <v>294.75</v>
      </c>
      <c r="I289">
        <v>0</v>
      </c>
    </row>
    <row r="290" spans="1:9">
      <c r="A290" t="s">
        <v>382</v>
      </c>
      <c r="B290">
        <v>2006.1351999999999</v>
      </c>
      <c r="C290">
        <v>36.579500000000003</v>
      </c>
      <c r="D290">
        <v>39.002400000000002</v>
      </c>
      <c r="E290">
        <v>40.691000000000003</v>
      </c>
      <c r="F290">
        <v>59906.59</v>
      </c>
      <c r="G290">
        <v>49.14</v>
      </c>
      <c r="H290">
        <v>293.95999999999998</v>
      </c>
      <c r="I290">
        <v>0</v>
      </c>
    </row>
    <row r="291" spans="1:9">
      <c r="A291" t="s">
        <v>383</v>
      </c>
      <c r="B291">
        <v>904.7056</v>
      </c>
      <c r="C291">
        <v>33.488399999999999</v>
      </c>
      <c r="D291">
        <v>37.3125</v>
      </c>
      <c r="E291">
        <v>39.2027</v>
      </c>
      <c r="F291">
        <v>54302.76</v>
      </c>
      <c r="G291">
        <v>42.43</v>
      </c>
      <c r="H291">
        <v>294.5</v>
      </c>
      <c r="I291">
        <v>0</v>
      </c>
    </row>
    <row r="292" spans="1:9">
      <c r="A292" t="s">
        <v>384</v>
      </c>
      <c r="B292">
        <v>412.8064</v>
      </c>
      <c r="C292">
        <v>30.597100000000001</v>
      </c>
      <c r="D292">
        <v>36.095199999999998</v>
      </c>
      <c r="E292">
        <v>37.965000000000003</v>
      </c>
      <c r="F292">
        <v>42159.360000000001</v>
      </c>
      <c r="G292">
        <v>39.57</v>
      </c>
      <c r="H292">
        <v>272.38</v>
      </c>
      <c r="I292">
        <v>0</v>
      </c>
    </row>
    <row r="293" spans="1:9">
      <c r="A293" t="s">
        <v>385</v>
      </c>
      <c r="B293">
        <v>1486.0655999999999</v>
      </c>
      <c r="C293">
        <v>41.433799999999998</v>
      </c>
      <c r="D293">
        <v>44.191499999999998</v>
      </c>
      <c r="E293">
        <v>43.472299999999997</v>
      </c>
      <c r="F293">
        <v>25514.78</v>
      </c>
      <c r="G293">
        <v>25.01</v>
      </c>
      <c r="H293">
        <v>171.87</v>
      </c>
      <c r="I293">
        <v>0</v>
      </c>
    </row>
    <row r="294" spans="1:9">
      <c r="A294" t="s">
        <v>386</v>
      </c>
      <c r="B294">
        <v>737.50720000000001</v>
      </c>
      <c r="C294">
        <v>37.490200000000002</v>
      </c>
      <c r="D294">
        <v>41.545999999999999</v>
      </c>
      <c r="E294">
        <v>40.4148</v>
      </c>
      <c r="F294">
        <v>21634.6</v>
      </c>
      <c r="G294">
        <v>24.46</v>
      </c>
      <c r="H294">
        <v>171.6</v>
      </c>
      <c r="I294">
        <v>0</v>
      </c>
    </row>
    <row r="295" spans="1:9">
      <c r="A295" t="s">
        <v>387</v>
      </c>
      <c r="B295">
        <v>370.29840000000002</v>
      </c>
      <c r="C295">
        <v>34.004100000000001</v>
      </c>
      <c r="D295">
        <v>39.630400000000002</v>
      </c>
      <c r="E295">
        <v>38.366</v>
      </c>
      <c r="F295">
        <v>18644.759999999998</v>
      </c>
      <c r="G295">
        <v>23.38</v>
      </c>
      <c r="H295">
        <v>151.85</v>
      </c>
      <c r="I295">
        <v>0</v>
      </c>
    </row>
    <row r="296" spans="1:9">
      <c r="A296" t="s">
        <v>388</v>
      </c>
      <c r="B296">
        <v>188.88640000000001</v>
      </c>
      <c r="C296">
        <v>31.058499999999999</v>
      </c>
      <c r="D296">
        <v>38.112699999999997</v>
      </c>
      <c r="E296">
        <v>36.650500000000001</v>
      </c>
      <c r="F296">
        <v>16226.1</v>
      </c>
      <c r="G296">
        <v>22.7</v>
      </c>
      <c r="H296">
        <v>164.61</v>
      </c>
      <c r="I296">
        <v>0</v>
      </c>
    </row>
    <row r="297" spans="1:9">
      <c r="A297" t="s">
        <v>389</v>
      </c>
      <c r="B297">
        <v>1885.3671999999999</v>
      </c>
      <c r="C297">
        <v>38.734200000000001</v>
      </c>
      <c r="D297">
        <v>42.84</v>
      </c>
      <c r="E297">
        <v>43.982100000000003</v>
      </c>
      <c r="F297">
        <v>20355.310000000001</v>
      </c>
      <c r="G297">
        <v>37.630000000000003</v>
      </c>
      <c r="H297">
        <v>171.29</v>
      </c>
      <c r="I297">
        <v>0</v>
      </c>
    </row>
    <row r="298" spans="1:9">
      <c r="A298" t="s">
        <v>390</v>
      </c>
      <c r="B298">
        <v>653.35919999999999</v>
      </c>
      <c r="C298">
        <v>35.0458</v>
      </c>
      <c r="D298">
        <v>40.739100000000001</v>
      </c>
      <c r="E298">
        <v>41.720100000000002</v>
      </c>
      <c r="F298">
        <v>15249.25</v>
      </c>
      <c r="G298">
        <v>32.61</v>
      </c>
      <c r="H298">
        <v>171.73</v>
      </c>
      <c r="I298">
        <v>0</v>
      </c>
    </row>
    <row r="299" spans="1:9">
      <c r="A299" t="s">
        <v>391</v>
      </c>
      <c r="B299">
        <v>242.512</v>
      </c>
      <c r="C299">
        <v>31.833500000000001</v>
      </c>
      <c r="D299">
        <v>39.360399999999998</v>
      </c>
      <c r="E299">
        <v>40.256799999999998</v>
      </c>
      <c r="F299">
        <v>10727.22</v>
      </c>
      <c r="G299">
        <v>32.26</v>
      </c>
      <c r="H299">
        <v>170.79</v>
      </c>
      <c r="I299">
        <v>0</v>
      </c>
    </row>
    <row r="300" spans="1:9">
      <c r="A300" t="s">
        <v>392</v>
      </c>
      <c r="B300">
        <v>97.710400000000007</v>
      </c>
      <c r="C300">
        <v>28.860800000000001</v>
      </c>
      <c r="D300">
        <v>38.439900000000002</v>
      </c>
      <c r="E300">
        <v>39.275500000000001</v>
      </c>
      <c r="F300">
        <v>8122.08</v>
      </c>
      <c r="G300">
        <v>31.42</v>
      </c>
      <c r="H300">
        <v>161.96</v>
      </c>
      <c r="I300">
        <v>0</v>
      </c>
    </row>
    <row r="301" spans="1:9">
      <c r="A301" t="s">
        <v>393</v>
      </c>
      <c r="B301">
        <v>1691.9351999999999</v>
      </c>
      <c r="C301">
        <v>38.473799999999997</v>
      </c>
      <c r="D301">
        <v>40.9923</v>
      </c>
      <c r="E301">
        <v>41.823999999999998</v>
      </c>
      <c r="F301">
        <v>23402.17</v>
      </c>
      <c r="G301">
        <v>31.01</v>
      </c>
      <c r="H301">
        <v>170.8</v>
      </c>
      <c r="I301">
        <v>0</v>
      </c>
    </row>
    <row r="302" spans="1:9">
      <c r="A302" t="s">
        <v>394</v>
      </c>
      <c r="B302">
        <v>712.67280000000005</v>
      </c>
      <c r="C302">
        <v>34.697899999999997</v>
      </c>
      <c r="D302">
        <v>38.290799999999997</v>
      </c>
      <c r="E302">
        <v>38.9499</v>
      </c>
      <c r="F302">
        <v>18194.599999999999</v>
      </c>
      <c r="G302">
        <v>29.46</v>
      </c>
      <c r="H302">
        <v>152.24</v>
      </c>
      <c r="I302">
        <v>0</v>
      </c>
    </row>
    <row r="303" spans="1:9">
      <c r="A303" t="s">
        <v>395</v>
      </c>
      <c r="B303">
        <v>310.24720000000002</v>
      </c>
      <c r="C303">
        <v>31.227900000000002</v>
      </c>
      <c r="D303">
        <v>36.284599999999998</v>
      </c>
      <c r="E303">
        <v>36.939399999999999</v>
      </c>
      <c r="F303">
        <v>14316.65</v>
      </c>
      <c r="G303">
        <v>30.66</v>
      </c>
      <c r="H303">
        <v>169.7</v>
      </c>
      <c r="I303">
        <v>0</v>
      </c>
    </row>
    <row r="304" spans="1:9">
      <c r="A304" t="s">
        <v>396</v>
      </c>
      <c r="B304">
        <v>132.89840000000001</v>
      </c>
      <c r="C304">
        <v>28.169899999999998</v>
      </c>
      <c r="D304">
        <v>34.881599999999999</v>
      </c>
      <c r="E304">
        <v>35.511099999999999</v>
      </c>
      <c r="F304">
        <v>11420.97</v>
      </c>
      <c r="G304">
        <v>29.68</v>
      </c>
      <c r="H304">
        <v>163.63</v>
      </c>
      <c r="I304">
        <v>0</v>
      </c>
    </row>
    <row r="305" spans="1:9">
      <c r="A305" t="s">
        <v>397</v>
      </c>
      <c r="B305">
        <v>1165.7672</v>
      </c>
      <c r="C305">
        <v>40.413800000000002</v>
      </c>
      <c r="D305">
        <v>41.412700000000001</v>
      </c>
      <c r="E305">
        <v>42.533499999999997</v>
      </c>
      <c r="F305">
        <v>19198.310000000001</v>
      </c>
      <c r="G305">
        <v>17.21</v>
      </c>
      <c r="H305">
        <v>171.59</v>
      </c>
      <c r="I305">
        <v>0</v>
      </c>
    </row>
    <row r="306" spans="1:9">
      <c r="A306" t="s">
        <v>398</v>
      </c>
      <c r="B306">
        <v>556.15599999999995</v>
      </c>
      <c r="C306">
        <v>36.299199999999999</v>
      </c>
      <c r="D306">
        <v>38.650199999999998</v>
      </c>
      <c r="E306">
        <v>39.920400000000001</v>
      </c>
      <c r="F306">
        <v>15665.12</v>
      </c>
      <c r="G306">
        <v>16.32</v>
      </c>
      <c r="H306">
        <v>171.59</v>
      </c>
      <c r="I306">
        <v>0</v>
      </c>
    </row>
    <row r="307" spans="1:9">
      <c r="A307" t="s">
        <v>399</v>
      </c>
      <c r="B307">
        <v>269.8152</v>
      </c>
      <c r="C307">
        <v>32.668799999999997</v>
      </c>
      <c r="D307">
        <v>36.926699999999997</v>
      </c>
      <c r="E307">
        <v>38.142299999999999</v>
      </c>
      <c r="F307">
        <v>13104.61</v>
      </c>
      <c r="G307">
        <v>15.12</v>
      </c>
      <c r="H307">
        <v>171.19</v>
      </c>
      <c r="I307">
        <v>0</v>
      </c>
    </row>
    <row r="308" spans="1:9">
      <c r="A308" t="s">
        <v>400</v>
      </c>
      <c r="B308">
        <v>130.0488</v>
      </c>
      <c r="C308">
        <v>29.7239</v>
      </c>
      <c r="D308">
        <v>35.545499999999997</v>
      </c>
      <c r="E308">
        <v>36.591999999999999</v>
      </c>
      <c r="F308">
        <v>11132.89</v>
      </c>
      <c r="G308">
        <v>14.41</v>
      </c>
      <c r="H308">
        <v>152.38999999999999</v>
      </c>
      <c r="I308">
        <v>0</v>
      </c>
    </row>
    <row r="309" spans="1:9">
      <c r="A309" t="s">
        <v>401</v>
      </c>
      <c r="B309">
        <v>1974.8671999999999</v>
      </c>
      <c r="C309">
        <v>43.018599999999999</v>
      </c>
      <c r="D309">
        <v>46.819899999999997</v>
      </c>
      <c r="E309">
        <v>48.240400000000001</v>
      </c>
      <c r="F309">
        <v>78414.31</v>
      </c>
      <c r="G309">
        <v>130.46</v>
      </c>
      <c r="H309">
        <v>485.3</v>
      </c>
      <c r="I309">
        <v>0</v>
      </c>
    </row>
    <row r="310" spans="1:9">
      <c r="A310" t="s">
        <v>402</v>
      </c>
      <c r="B310">
        <v>741.99040000000002</v>
      </c>
      <c r="C310">
        <v>40.777500000000003</v>
      </c>
      <c r="D310">
        <v>44.897399999999998</v>
      </c>
      <c r="E310">
        <v>46.288699999999999</v>
      </c>
      <c r="F310">
        <v>58100.04</v>
      </c>
      <c r="G310">
        <v>114.05</v>
      </c>
      <c r="H310">
        <v>481.87</v>
      </c>
      <c r="I310">
        <v>0</v>
      </c>
    </row>
    <row r="311" spans="1:9">
      <c r="A311" t="s">
        <v>403</v>
      </c>
      <c r="B311">
        <v>364.38159999999999</v>
      </c>
      <c r="C311">
        <v>38.222900000000003</v>
      </c>
      <c r="D311">
        <v>43.197600000000001</v>
      </c>
      <c r="E311">
        <v>44.608699999999999</v>
      </c>
      <c r="F311">
        <v>46947.040000000001</v>
      </c>
      <c r="G311">
        <v>102.34</v>
      </c>
      <c r="H311">
        <v>478.03</v>
      </c>
      <c r="I311">
        <v>0</v>
      </c>
    </row>
    <row r="312" spans="1:9">
      <c r="A312" t="s">
        <v>404</v>
      </c>
      <c r="B312">
        <v>192.49199999999999</v>
      </c>
      <c r="C312">
        <v>35.371899999999997</v>
      </c>
      <c r="D312">
        <v>41.968800000000002</v>
      </c>
      <c r="E312">
        <v>43.1203</v>
      </c>
      <c r="F312">
        <v>40817.81</v>
      </c>
      <c r="G312">
        <v>94.34</v>
      </c>
      <c r="H312">
        <v>457.8</v>
      </c>
      <c r="I312">
        <v>0</v>
      </c>
    </row>
    <row r="313" spans="1:9">
      <c r="A313" t="s">
        <v>405</v>
      </c>
      <c r="B313">
        <v>1369.3696</v>
      </c>
      <c r="C313">
        <v>43.308</v>
      </c>
      <c r="D313">
        <v>48.476599999999998</v>
      </c>
      <c r="E313">
        <v>49.1218</v>
      </c>
      <c r="F313">
        <v>70542.2</v>
      </c>
      <c r="G313">
        <v>100.86</v>
      </c>
      <c r="H313">
        <v>459.23</v>
      </c>
      <c r="I313">
        <v>0</v>
      </c>
    </row>
    <row r="314" spans="1:9">
      <c r="A314" t="s">
        <v>406</v>
      </c>
      <c r="B314">
        <v>350.65280000000001</v>
      </c>
      <c r="C314">
        <v>41.605800000000002</v>
      </c>
      <c r="D314">
        <v>46.956499999999998</v>
      </c>
      <c r="E314">
        <v>47.685299999999998</v>
      </c>
      <c r="F314">
        <v>47616.09</v>
      </c>
      <c r="G314">
        <v>82.63</v>
      </c>
      <c r="H314">
        <v>464.15</v>
      </c>
      <c r="I314">
        <v>0</v>
      </c>
    </row>
    <row r="315" spans="1:9">
      <c r="A315" t="s">
        <v>407</v>
      </c>
      <c r="B315">
        <v>153.1344</v>
      </c>
      <c r="C315">
        <v>39.6265</v>
      </c>
      <c r="D315">
        <v>45.481099999999998</v>
      </c>
      <c r="E315">
        <v>46.259</v>
      </c>
      <c r="F315">
        <v>36310.720000000001</v>
      </c>
      <c r="G315">
        <v>78.400000000000006</v>
      </c>
      <c r="H315">
        <v>477.89</v>
      </c>
      <c r="I315">
        <v>0</v>
      </c>
    </row>
    <row r="316" spans="1:9">
      <c r="A316" t="s">
        <v>408</v>
      </c>
      <c r="B316">
        <v>79.962400000000002</v>
      </c>
      <c r="C316">
        <v>37.266300000000001</v>
      </c>
      <c r="D316">
        <v>43.929299999999998</v>
      </c>
      <c r="E316">
        <v>44.734499999999997</v>
      </c>
      <c r="F316">
        <v>30855.439999999999</v>
      </c>
      <c r="G316">
        <v>75.150000000000006</v>
      </c>
      <c r="H316">
        <v>456.32</v>
      </c>
      <c r="I316">
        <v>0</v>
      </c>
    </row>
    <row r="317" spans="1:9">
      <c r="A317" t="s">
        <v>409</v>
      </c>
      <c r="B317">
        <v>1787.4839999999999</v>
      </c>
      <c r="C317">
        <v>43.643700000000003</v>
      </c>
      <c r="D317">
        <v>47.739600000000003</v>
      </c>
      <c r="E317">
        <v>48.722099999999998</v>
      </c>
      <c r="F317">
        <v>90839.82</v>
      </c>
      <c r="G317">
        <v>115.93</v>
      </c>
      <c r="H317">
        <v>459.61</v>
      </c>
      <c r="I317">
        <v>0</v>
      </c>
    </row>
    <row r="318" spans="1:9">
      <c r="A318" t="s">
        <v>410</v>
      </c>
      <c r="B318">
        <v>601.90560000000005</v>
      </c>
      <c r="C318">
        <v>41.646700000000003</v>
      </c>
      <c r="D318">
        <v>45.857100000000003</v>
      </c>
      <c r="E318">
        <v>46.919199999999996</v>
      </c>
      <c r="F318">
        <v>66359.23</v>
      </c>
      <c r="G318">
        <v>112.77</v>
      </c>
      <c r="H318">
        <v>457.63</v>
      </c>
      <c r="I318">
        <v>0</v>
      </c>
    </row>
    <row r="319" spans="1:9">
      <c r="A319" t="s">
        <v>411</v>
      </c>
      <c r="B319">
        <v>263.95280000000002</v>
      </c>
      <c r="C319">
        <v>39.3964</v>
      </c>
      <c r="D319">
        <v>44.217300000000002</v>
      </c>
      <c r="E319">
        <v>45.288200000000003</v>
      </c>
      <c r="F319">
        <v>52399.09</v>
      </c>
      <c r="G319">
        <v>111.55</v>
      </c>
      <c r="H319">
        <v>481.9</v>
      </c>
      <c r="I319">
        <v>0</v>
      </c>
    </row>
    <row r="320" spans="1:9">
      <c r="A320" t="s">
        <v>412</v>
      </c>
      <c r="B320">
        <v>134.21199999999999</v>
      </c>
      <c r="C320">
        <v>36.7864</v>
      </c>
      <c r="D320">
        <v>42.722900000000003</v>
      </c>
      <c r="E320">
        <v>43.806800000000003</v>
      </c>
      <c r="F320">
        <v>43226.3</v>
      </c>
      <c r="G320">
        <v>125.2</v>
      </c>
      <c r="H320">
        <v>485.22</v>
      </c>
      <c r="I320">
        <v>0</v>
      </c>
    </row>
    <row r="321" spans="1:9">
      <c r="A321" t="s">
        <v>413</v>
      </c>
      <c r="B321">
        <v>3218.9456</v>
      </c>
      <c r="C321">
        <v>40.877000000000002</v>
      </c>
      <c r="D321">
        <v>43.018500000000003</v>
      </c>
      <c r="E321">
        <v>43.694699999999997</v>
      </c>
      <c r="F321">
        <v>80921.45</v>
      </c>
      <c r="G321">
        <v>61.93</v>
      </c>
      <c r="H321">
        <v>274.66000000000003</v>
      </c>
      <c r="I321">
        <v>0</v>
      </c>
    </row>
    <row r="322" spans="1:9">
      <c r="A322" t="s">
        <v>414</v>
      </c>
      <c r="B322">
        <v>1521.9816000000001</v>
      </c>
      <c r="C322">
        <v>37.5869</v>
      </c>
      <c r="D322">
        <v>40.372100000000003</v>
      </c>
      <c r="E322">
        <v>40.816400000000002</v>
      </c>
      <c r="F322">
        <v>72879.740000000005</v>
      </c>
      <c r="G322">
        <v>58.93</v>
      </c>
      <c r="H322">
        <v>292.55</v>
      </c>
      <c r="I322">
        <v>0</v>
      </c>
    </row>
    <row r="323" spans="1:9">
      <c r="A323" t="s">
        <v>415</v>
      </c>
      <c r="B323">
        <v>758.76959999999997</v>
      </c>
      <c r="C323">
        <v>34.590600000000002</v>
      </c>
      <c r="D323">
        <v>38.395200000000003</v>
      </c>
      <c r="E323">
        <v>38.814399999999999</v>
      </c>
      <c r="F323">
        <v>63921.52</v>
      </c>
      <c r="G323">
        <v>53.73</v>
      </c>
      <c r="H323">
        <v>272.48</v>
      </c>
      <c r="I323">
        <v>0</v>
      </c>
    </row>
    <row r="324" spans="1:9">
      <c r="A324" t="s">
        <v>416</v>
      </c>
      <c r="B324">
        <v>399.2088</v>
      </c>
      <c r="C324">
        <v>31.928799999999999</v>
      </c>
      <c r="D324">
        <v>36.7545</v>
      </c>
      <c r="E324">
        <v>37.011499999999998</v>
      </c>
      <c r="F324">
        <v>52774.74</v>
      </c>
      <c r="G324">
        <v>56.92</v>
      </c>
      <c r="H324">
        <v>294.26</v>
      </c>
      <c r="I324">
        <v>0</v>
      </c>
    </row>
    <row r="325" spans="1:9">
      <c r="A325" t="s">
        <v>417</v>
      </c>
      <c r="B325">
        <v>4678.3780999999999</v>
      </c>
      <c r="C325">
        <v>43.403799999999997</v>
      </c>
      <c r="D325">
        <v>46.168599999999998</v>
      </c>
      <c r="E325">
        <v>46.352400000000003</v>
      </c>
      <c r="F325">
        <v>188390.64</v>
      </c>
      <c r="G325">
        <v>124.38</v>
      </c>
      <c r="H325">
        <v>420.43</v>
      </c>
      <c r="I325">
        <v>0</v>
      </c>
    </row>
    <row r="326" spans="1:9">
      <c r="A326" t="s">
        <v>418</v>
      </c>
      <c r="B326">
        <v>2290.4533999999999</v>
      </c>
      <c r="C326">
        <v>39.365099999999998</v>
      </c>
      <c r="D326">
        <v>43.463200000000001</v>
      </c>
      <c r="E326">
        <v>43.405200000000001</v>
      </c>
      <c r="F326">
        <v>152494.93</v>
      </c>
      <c r="G326">
        <v>114.21</v>
      </c>
      <c r="H326">
        <v>422.53</v>
      </c>
      <c r="I326">
        <v>0</v>
      </c>
    </row>
    <row r="327" spans="1:9">
      <c r="A327" t="s">
        <v>419</v>
      </c>
      <c r="B327">
        <v>1135.0962999999999</v>
      </c>
      <c r="C327">
        <v>35.714700000000001</v>
      </c>
      <c r="D327">
        <v>41.518300000000004</v>
      </c>
      <c r="E327">
        <v>41.061199999999999</v>
      </c>
      <c r="F327">
        <v>129253.58</v>
      </c>
      <c r="G327">
        <v>116.7</v>
      </c>
      <c r="H327">
        <v>400.4</v>
      </c>
      <c r="I327">
        <v>0</v>
      </c>
    </row>
    <row r="328" spans="1:9">
      <c r="A328" t="s">
        <v>420</v>
      </c>
      <c r="B328">
        <v>543.33119999999997</v>
      </c>
      <c r="C328">
        <v>32.436999999999998</v>
      </c>
      <c r="D328">
        <v>39.916400000000003</v>
      </c>
      <c r="E328">
        <v>38.678100000000001</v>
      </c>
      <c r="F328">
        <v>105885.47</v>
      </c>
      <c r="G328">
        <v>118</v>
      </c>
      <c r="H328">
        <v>422.67</v>
      </c>
      <c r="I328">
        <v>0</v>
      </c>
    </row>
    <row r="329" spans="1:9">
      <c r="A329" t="s">
        <v>421</v>
      </c>
      <c r="B329">
        <v>283.608</v>
      </c>
      <c r="C329">
        <v>47.523899999999998</v>
      </c>
      <c r="D329">
        <v>46.296799999999998</v>
      </c>
      <c r="E329">
        <v>46.280700000000003</v>
      </c>
      <c r="F329">
        <v>18923.650000000001</v>
      </c>
      <c r="G329">
        <v>16.66</v>
      </c>
      <c r="H329">
        <v>486.22</v>
      </c>
      <c r="I329">
        <v>0</v>
      </c>
    </row>
    <row r="330" spans="1:9">
      <c r="A330" t="s">
        <v>422</v>
      </c>
      <c r="B330">
        <v>212.33920000000001</v>
      </c>
      <c r="C330">
        <v>43.299199999999999</v>
      </c>
      <c r="D330">
        <v>42.308700000000002</v>
      </c>
      <c r="E330">
        <v>42.5182</v>
      </c>
      <c r="F330">
        <v>18177.53</v>
      </c>
      <c r="G330">
        <v>15.54</v>
      </c>
      <c r="H330">
        <v>457.7</v>
      </c>
      <c r="I330">
        <v>0</v>
      </c>
    </row>
    <row r="331" spans="1:9">
      <c r="A331" t="s">
        <v>423</v>
      </c>
      <c r="B331">
        <v>158.4992</v>
      </c>
      <c r="C331">
        <v>38.766599999999997</v>
      </c>
      <c r="D331">
        <v>39.663800000000002</v>
      </c>
      <c r="E331">
        <v>40.180799999999998</v>
      </c>
      <c r="F331">
        <v>17511.14</v>
      </c>
      <c r="G331">
        <v>15.11</v>
      </c>
      <c r="H331">
        <v>456.43</v>
      </c>
      <c r="I331">
        <v>0</v>
      </c>
    </row>
    <row r="332" spans="1:9">
      <c r="A332" t="s">
        <v>424</v>
      </c>
      <c r="B332">
        <v>115.304</v>
      </c>
      <c r="C332">
        <v>33.9754</v>
      </c>
      <c r="D332">
        <v>38.326300000000003</v>
      </c>
      <c r="E332">
        <v>38.7652</v>
      </c>
      <c r="F332">
        <v>17275.55</v>
      </c>
      <c r="G332">
        <v>15.2</v>
      </c>
      <c r="H332">
        <v>459.48</v>
      </c>
      <c r="I332">
        <v>0</v>
      </c>
    </row>
    <row r="333" spans="1:9">
      <c r="A333" t="s">
        <v>425</v>
      </c>
      <c r="B333">
        <v>537.45060000000001</v>
      </c>
      <c r="C333">
        <v>49.293500000000002</v>
      </c>
      <c r="D333">
        <v>52.378500000000003</v>
      </c>
      <c r="E333">
        <v>53.446800000000003</v>
      </c>
      <c r="F333">
        <v>67650.009999999995</v>
      </c>
      <c r="G333">
        <v>44.5</v>
      </c>
      <c r="H333">
        <v>481.84</v>
      </c>
      <c r="I333">
        <v>0</v>
      </c>
    </row>
    <row r="334" spans="1:9">
      <c r="A334" t="s">
        <v>426</v>
      </c>
      <c r="B334">
        <v>307.50020000000001</v>
      </c>
      <c r="C334">
        <v>45.524000000000001</v>
      </c>
      <c r="D334">
        <v>49.122700000000002</v>
      </c>
      <c r="E334">
        <v>50.347700000000003</v>
      </c>
      <c r="F334">
        <v>62735.67</v>
      </c>
      <c r="G334">
        <v>46.17</v>
      </c>
      <c r="H334">
        <v>456.34</v>
      </c>
      <c r="I334">
        <v>0</v>
      </c>
    </row>
    <row r="335" spans="1:9">
      <c r="A335" t="s">
        <v>427</v>
      </c>
      <c r="B335">
        <v>180.49539999999999</v>
      </c>
      <c r="C335">
        <v>41.8185</v>
      </c>
      <c r="D335">
        <v>46.768900000000002</v>
      </c>
      <c r="E335">
        <v>48.179200000000002</v>
      </c>
      <c r="F335">
        <v>57251.3</v>
      </c>
      <c r="G335">
        <v>47.24</v>
      </c>
      <c r="H335">
        <v>482.52</v>
      </c>
      <c r="I335">
        <v>0</v>
      </c>
    </row>
    <row r="336" spans="1:9">
      <c r="A336" t="s">
        <v>428</v>
      </c>
      <c r="B336">
        <v>111.3648</v>
      </c>
      <c r="C336">
        <v>38.052799999999998</v>
      </c>
      <c r="D336">
        <v>44.826300000000003</v>
      </c>
      <c r="E336">
        <v>46.571599999999997</v>
      </c>
      <c r="F336">
        <v>52345.96</v>
      </c>
      <c r="G336">
        <v>47.26</v>
      </c>
      <c r="H336">
        <v>485.91</v>
      </c>
      <c r="I336">
        <v>0</v>
      </c>
    </row>
    <row r="337" spans="1:9">
      <c r="A337" t="s">
        <v>429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430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431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432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433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434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435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436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437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438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439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440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441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442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443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444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445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446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447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448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449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450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451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452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453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454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455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456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457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458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459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460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461</v>
      </c>
      <c r="B369">
        <v>4739.9759999999997</v>
      </c>
      <c r="C369">
        <v>41.96</v>
      </c>
      <c r="D369">
        <v>43.539700000000003</v>
      </c>
      <c r="E369">
        <v>45.069600000000001</v>
      </c>
      <c r="F369">
        <v>90424.37</v>
      </c>
      <c r="G369">
        <v>81.709999999999994</v>
      </c>
      <c r="H369">
        <v>884.26</v>
      </c>
      <c r="I369">
        <v>0</v>
      </c>
    </row>
    <row r="370" spans="1:9">
      <c r="A370" t="s">
        <v>462</v>
      </c>
      <c r="B370">
        <v>2126.152</v>
      </c>
      <c r="C370">
        <v>39.938400000000001</v>
      </c>
      <c r="D370">
        <v>41.965699999999998</v>
      </c>
      <c r="E370">
        <v>43.066699999999997</v>
      </c>
      <c r="F370">
        <v>64003.18</v>
      </c>
      <c r="G370">
        <v>73.239999999999995</v>
      </c>
      <c r="H370">
        <v>860.22</v>
      </c>
      <c r="I370">
        <v>0</v>
      </c>
    </row>
    <row r="371" spans="1:9">
      <c r="A371" t="s">
        <v>463</v>
      </c>
      <c r="B371">
        <v>1043.7248</v>
      </c>
      <c r="C371">
        <v>37.4754</v>
      </c>
      <c r="D371">
        <v>40.812899999999999</v>
      </c>
      <c r="E371">
        <v>41.829599999999999</v>
      </c>
      <c r="F371">
        <v>50167.78</v>
      </c>
      <c r="G371">
        <v>63.19</v>
      </c>
      <c r="H371">
        <v>882.91</v>
      </c>
      <c r="I371">
        <v>0</v>
      </c>
    </row>
    <row r="372" spans="1:9">
      <c r="A372" t="s">
        <v>464</v>
      </c>
      <c r="B372">
        <v>517.95920000000001</v>
      </c>
      <c r="C372">
        <v>34.913499999999999</v>
      </c>
      <c r="D372">
        <v>39.972299999999997</v>
      </c>
      <c r="E372">
        <v>41.069499999999998</v>
      </c>
      <c r="F372">
        <v>41116.21</v>
      </c>
      <c r="G372">
        <v>57.19</v>
      </c>
      <c r="H372">
        <v>859.6</v>
      </c>
      <c r="I372">
        <v>0</v>
      </c>
    </row>
    <row r="373" spans="1:9">
      <c r="A373" t="s">
        <v>465</v>
      </c>
      <c r="B373">
        <v>7539.0616</v>
      </c>
      <c r="C373">
        <v>40.159599999999998</v>
      </c>
      <c r="D373">
        <v>42.070599999999999</v>
      </c>
      <c r="E373">
        <v>43.273099999999999</v>
      </c>
      <c r="F373">
        <v>67707.8</v>
      </c>
      <c r="G373">
        <v>75.39</v>
      </c>
      <c r="H373">
        <v>873.3</v>
      </c>
      <c r="I373">
        <v>0</v>
      </c>
    </row>
    <row r="374" spans="1:9">
      <c r="A374" t="s">
        <v>466</v>
      </c>
      <c r="B374">
        <v>2961.9495999999999</v>
      </c>
      <c r="C374">
        <v>37.270400000000002</v>
      </c>
      <c r="D374">
        <v>39.951999999999998</v>
      </c>
      <c r="E374">
        <v>40.994199999999999</v>
      </c>
      <c r="F374">
        <v>49793.01</v>
      </c>
      <c r="G374">
        <v>54.97</v>
      </c>
      <c r="H374">
        <v>883.09</v>
      </c>
      <c r="I374">
        <v>0</v>
      </c>
    </row>
    <row r="375" spans="1:9">
      <c r="A375" t="s">
        <v>467</v>
      </c>
      <c r="B375">
        <v>1256.9048</v>
      </c>
      <c r="C375">
        <v>34.480699999999999</v>
      </c>
      <c r="D375">
        <v>38.398699999999998</v>
      </c>
      <c r="E375">
        <v>39.6295</v>
      </c>
      <c r="F375">
        <v>40522.06</v>
      </c>
      <c r="G375">
        <v>50.7</v>
      </c>
      <c r="H375">
        <v>870.91</v>
      </c>
      <c r="I375">
        <v>0</v>
      </c>
    </row>
    <row r="376" spans="1:9">
      <c r="A376" t="s">
        <v>468</v>
      </c>
      <c r="B376">
        <v>536.46879999999999</v>
      </c>
      <c r="C376">
        <v>31.8752</v>
      </c>
      <c r="D376">
        <v>37.297699999999999</v>
      </c>
      <c r="E376">
        <v>38.892299999999999</v>
      </c>
      <c r="F376">
        <v>30397.94</v>
      </c>
      <c r="G376">
        <v>50.39</v>
      </c>
      <c r="H376">
        <v>859.56</v>
      </c>
      <c r="I376">
        <v>0</v>
      </c>
    </row>
    <row r="377" spans="1:9">
      <c r="A377" t="s">
        <v>469</v>
      </c>
      <c r="B377">
        <v>19750.170399999999</v>
      </c>
      <c r="C377">
        <v>38.860399999999998</v>
      </c>
      <c r="D377">
        <v>40.178800000000003</v>
      </c>
      <c r="E377">
        <v>43.603099999999998</v>
      </c>
      <c r="F377">
        <v>206380.66</v>
      </c>
      <c r="G377">
        <v>169</v>
      </c>
      <c r="H377">
        <v>877.69</v>
      </c>
      <c r="I377">
        <v>0</v>
      </c>
    </row>
    <row r="378" spans="1:9">
      <c r="A378" t="s">
        <v>470</v>
      </c>
      <c r="B378">
        <v>4926.7776000000003</v>
      </c>
      <c r="C378">
        <v>36.979300000000002</v>
      </c>
      <c r="D378">
        <v>39.083599999999997</v>
      </c>
      <c r="E378">
        <v>41.786200000000001</v>
      </c>
      <c r="F378">
        <v>136789.01</v>
      </c>
      <c r="G378">
        <v>117.53</v>
      </c>
      <c r="H378">
        <v>858.93</v>
      </c>
      <c r="I378">
        <v>0</v>
      </c>
    </row>
    <row r="379" spans="1:9">
      <c r="A379" t="s">
        <v>471</v>
      </c>
      <c r="B379">
        <v>2187.1024000000002</v>
      </c>
      <c r="C379">
        <v>34.966999999999999</v>
      </c>
      <c r="D379">
        <v>38.2517</v>
      </c>
      <c r="E379">
        <v>40.241900000000001</v>
      </c>
      <c r="F379">
        <v>109565.32</v>
      </c>
      <c r="G379">
        <v>110.6</v>
      </c>
      <c r="H379">
        <v>891.46</v>
      </c>
      <c r="I379">
        <v>0</v>
      </c>
    </row>
    <row r="380" spans="1:9">
      <c r="A380" t="s">
        <v>472</v>
      </c>
      <c r="B380">
        <v>1075.18</v>
      </c>
      <c r="C380">
        <v>32.754600000000003</v>
      </c>
      <c r="D380">
        <v>37.443300000000001</v>
      </c>
      <c r="E380">
        <v>38.901499999999999</v>
      </c>
      <c r="F380">
        <v>85267.45</v>
      </c>
      <c r="G380">
        <v>106.29</v>
      </c>
      <c r="H380">
        <v>883.83</v>
      </c>
      <c r="I380">
        <v>0</v>
      </c>
    </row>
    <row r="381" spans="1:9">
      <c r="A381" t="s">
        <v>473</v>
      </c>
      <c r="B381">
        <v>18467.283200000002</v>
      </c>
      <c r="C381">
        <v>39.630200000000002</v>
      </c>
      <c r="D381">
        <v>43.994900000000001</v>
      </c>
      <c r="E381">
        <v>45.365099999999998</v>
      </c>
      <c r="F381">
        <v>308036.39</v>
      </c>
      <c r="G381">
        <v>184.93</v>
      </c>
      <c r="H381">
        <v>888.75</v>
      </c>
      <c r="I381">
        <v>0</v>
      </c>
    </row>
    <row r="382" spans="1:9">
      <c r="A382" t="s">
        <v>474</v>
      </c>
      <c r="B382">
        <v>6012.5631999999996</v>
      </c>
      <c r="C382">
        <v>37.807400000000001</v>
      </c>
      <c r="D382">
        <v>42.726300000000002</v>
      </c>
      <c r="E382">
        <v>43.377899999999997</v>
      </c>
      <c r="F382">
        <v>204548.52</v>
      </c>
      <c r="G382">
        <v>147.57</v>
      </c>
      <c r="H382">
        <v>888.95</v>
      </c>
      <c r="I382">
        <v>0</v>
      </c>
    </row>
    <row r="383" spans="1:9">
      <c r="A383" t="s">
        <v>475</v>
      </c>
      <c r="B383">
        <v>2808.212</v>
      </c>
      <c r="C383">
        <v>35.944600000000001</v>
      </c>
      <c r="D383">
        <v>41.639000000000003</v>
      </c>
      <c r="E383">
        <v>41.8262</v>
      </c>
      <c r="F383">
        <v>150009.42000000001</v>
      </c>
      <c r="G383">
        <v>134.86000000000001</v>
      </c>
      <c r="H383">
        <v>886.1</v>
      </c>
      <c r="I383">
        <v>0</v>
      </c>
    </row>
    <row r="384" spans="1:9">
      <c r="A384" t="s">
        <v>476</v>
      </c>
      <c r="B384">
        <v>1436.1320000000001</v>
      </c>
      <c r="C384">
        <v>33.910400000000003</v>
      </c>
      <c r="D384">
        <v>40.6646</v>
      </c>
      <c r="E384">
        <v>40.423299999999998</v>
      </c>
      <c r="F384">
        <v>116569.99</v>
      </c>
      <c r="G384">
        <v>120.43</v>
      </c>
      <c r="H384">
        <v>890.46</v>
      </c>
      <c r="I384">
        <v>0</v>
      </c>
    </row>
    <row r="385" spans="1:9">
      <c r="A385" t="s">
        <v>477</v>
      </c>
      <c r="B385">
        <v>54670.684800000003</v>
      </c>
      <c r="C385">
        <v>38.395299999999999</v>
      </c>
      <c r="D385">
        <v>42.0426</v>
      </c>
      <c r="E385">
        <v>44.2393</v>
      </c>
      <c r="F385">
        <v>269097.21000000002</v>
      </c>
      <c r="G385">
        <v>282.94</v>
      </c>
      <c r="H385">
        <v>890.09</v>
      </c>
      <c r="I385">
        <v>0</v>
      </c>
    </row>
    <row r="386" spans="1:9">
      <c r="A386" t="s">
        <v>478</v>
      </c>
      <c r="B386">
        <v>8348.9896000000008</v>
      </c>
      <c r="C386">
        <v>35.469499999999996</v>
      </c>
      <c r="D386">
        <v>40.657299999999999</v>
      </c>
      <c r="E386">
        <v>43.1081</v>
      </c>
      <c r="F386">
        <v>119337.18</v>
      </c>
      <c r="G386">
        <v>153.26</v>
      </c>
      <c r="H386">
        <v>886.05</v>
      </c>
      <c r="I386">
        <v>0</v>
      </c>
    </row>
    <row r="387" spans="1:9">
      <c r="A387" t="s">
        <v>479</v>
      </c>
      <c r="B387">
        <v>1958.8824</v>
      </c>
      <c r="C387">
        <v>33.768700000000003</v>
      </c>
      <c r="D387">
        <v>39.581099999999999</v>
      </c>
      <c r="E387">
        <v>42.245600000000003</v>
      </c>
      <c r="F387">
        <v>79358.009999999995</v>
      </c>
      <c r="G387">
        <v>108.54</v>
      </c>
      <c r="H387">
        <v>893</v>
      </c>
      <c r="I387">
        <v>0</v>
      </c>
    </row>
    <row r="388" spans="1:9">
      <c r="A388" t="s">
        <v>480</v>
      </c>
      <c r="B388">
        <v>720.92399999999998</v>
      </c>
      <c r="C388">
        <v>31.7745</v>
      </c>
      <c r="D388">
        <v>38.701300000000003</v>
      </c>
      <c r="E388">
        <v>41.5152</v>
      </c>
      <c r="F388">
        <v>53935.06</v>
      </c>
      <c r="G388">
        <v>88.14</v>
      </c>
      <c r="H388">
        <v>887.5</v>
      </c>
      <c r="I388">
        <v>0</v>
      </c>
    </row>
    <row r="389" spans="1:9">
      <c r="A389" t="s">
        <v>481</v>
      </c>
      <c r="B389">
        <v>3212.2687999999998</v>
      </c>
      <c r="C389">
        <v>40.710599999999999</v>
      </c>
      <c r="D389">
        <v>43.1995</v>
      </c>
      <c r="E389">
        <v>43.87</v>
      </c>
      <c r="F389">
        <v>53442.720000000001</v>
      </c>
      <c r="G389">
        <v>41.82</v>
      </c>
      <c r="H389">
        <v>292.69</v>
      </c>
      <c r="I389">
        <v>0</v>
      </c>
    </row>
    <row r="390" spans="1:9">
      <c r="A390" t="s">
        <v>482</v>
      </c>
      <c r="B390">
        <v>1497.8968</v>
      </c>
      <c r="C390">
        <v>37.536999999999999</v>
      </c>
      <c r="D390">
        <v>40.8247</v>
      </c>
      <c r="E390">
        <v>41.222799999999999</v>
      </c>
      <c r="F390">
        <v>46512.2</v>
      </c>
      <c r="G390">
        <v>39.78</v>
      </c>
      <c r="H390">
        <v>271.58999999999997</v>
      </c>
      <c r="I390">
        <v>0</v>
      </c>
    </row>
    <row r="391" spans="1:9">
      <c r="A391" t="s">
        <v>483</v>
      </c>
      <c r="B391">
        <v>733.62080000000003</v>
      </c>
      <c r="C391">
        <v>34.664900000000003</v>
      </c>
      <c r="D391">
        <v>38.9255</v>
      </c>
      <c r="E391">
        <v>39.298499999999997</v>
      </c>
      <c r="F391">
        <v>38524.86</v>
      </c>
      <c r="G391">
        <v>35.200000000000003</v>
      </c>
      <c r="H391">
        <v>292.20999999999998</v>
      </c>
      <c r="I391">
        <v>0</v>
      </c>
    </row>
    <row r="392" spans="1:9">
      <c r="A392" t="s">
        <v>484</v>
      </c>
      <c r="B392">
        <v>378.19439999999997</v>
      </c>
      <c r="C392">
        <v>32.228499999999997</v>
      </c>
      <c r="D392">
        <v>37.334499999999998</v>
      </c>
      <c r="E392">
        <v>37.585099999999997</v>
      </c>
      <c r="F392">
        <v>30730.51</v>
      </c>
      <c r="G392">
        <v>30.54</v>
      </c>
      <c r="H392">
        <v>274.33999999999997</v>
      </c>
      <c r="I392">
        <v>0</v>
      </c>
    </row>
    <row r="393" spans="1:9">
      <c r="A393" t="s">
        <v>485</v>
      </c>
      <c r="B393">
        <v>3764.4767999999999</v>
      </c>
      <c r="C393">
        <v>40.4574</v>
      </c>
      <c r="D393">
        <v>43.406599999999997</v>
      </c>
      <c r="E393">
        <v>44.883699999999997</v>
      </c>
      <c r="F393">
        <v>56469.2</v>
      </c>
      <c r="G393">
        <v>51.55</v>
      </c>
      <c r="H393">
        <v>292.39999999999998</v>
      </c>
      <c r="I393">
        <v>0</v>
      </c>
    </row>
    <row r="394" spans="1:9">
      <c r="A394" t="s">
        <v>486</v>
      </c>
      <c r="B394">
        <v>1657.8656000000001</v>
      </c>
      <c r="C394">
        <v>37.650500000000001</v>
      </c>
      <c r="D394">
        <v>41.356200000000001</v>
      </c>
      <c r="E394">
        <v>42.503</v>
      </c>
      <c r="F394">
        <v>44828.78</v>
      </c>
      <c r="G394">
        <v>44.05</v>
      </c>
      <c r="H394">
        <v>292.75</v>
      </c>
      <c r="I394">
        <v>0</v>
      </c>
    </row>
    <row r="395" spans="1:9">
      <c r="A395" t="s">
        <v>487</v>
      </c>
      <c r="B395">
        <v>802.85119999999995</v>
      </c>
      <c r="C395">
        <v>34.707799999999999</v>
      </c>
      <c r="D395">
        <v>39.712200000000003</v>
      </c>
      <c r="E395">
        <v>40.6873</v>
      </c>
      <c r="F395">
        <v>35659.519999999997</v>
      </c>
      <c r="G395">
        <v>38.130000000000003</v>
      </c>
      <c r="H395">
        <v>292.64</v>
      </c>
      <c r="I395">
        <v>0</v>
      </c>
    </row>
    <row r="396" spans="1:9">
      <c r="A396" t="s">
        <v>488</v>
      </c>
      <c r="B396">
        <v>403.43680000000001</v>
      </c>
      <c r="C396">
        <v>31.8202</v>
      </c>
      <c r="D396">
        <v>38.449599999999997</v>
      </c>
      <c r="E396">
        <v>39.3001</v>
      </c>
      <c r="F396">
        <v>29596.65</v>
      </c>
      <c r="G396">
        <v>37</v>
      </c>
      <c r="H396">
        <v>292.68</v>
      </c>
      <c r="I396">
        <v>0</v>
      </c>
    </row>
    <row r="397" spans="1:9">
      <c r="A397" t="s">
        <v>489</v>
      </c>
      <c r="B397">
        <v>7492.9535999999998</v>
      </c>
      <c r="C397">
        <v>38.627899999999997</v>
      </c>
      <c r="D397">
        <v>41.302199999999999</v>
      </c>
      <c r="E397">
        <v>42.2928</v>
      </c>
      <c r="F397">
        <v>58784.02</v>
      </c>
      <c r="G397">
        <v>57.2</v>
      </c>
      <c r="H397">
        <v>271.38</v>
      </c>
      <c r="I397">
        <v>0</v>
      </c>
    </row>
    <row r="398" spans="1:9">
      <c r="A398" t="s">
        <v>490</v>
      </c>
      <c r="B398">
        <v>3109.2719999999999</v>
      </c>
      <c r="C398">
        <v>34.811300000000003</v>
      </c>
      <c r="D398">
        <v>38.5593</v>
      </c>
      <c r="E398">
        <v>39.437800000000003</v>
      </c>
      <c r="F398">
        <v>42971.13</v>
      </c>
      <c r="G398">
        <v>45.25</v>
      </c>
      <c r="H398">
        <v>292.25</v>
      </c>
      <c r="I398">
        <v>0</v>
      </c>
    </row>
    <row r="399" spans="1:9">
      <c r="A399" t="s">
        <v>491</v>
      </c>
      <c r="B399">
        <v>1356.0840000000001</v>
      </c>
      <c r="C399">
        <v>31.3657</v>
      </c>
      <c r="D399">
        <v>36.700600000000001</v>
      </c>
      <c r="E399">
        <v>37.516100000000002</v>
      </c>
      <c r="F399">
        <v>38369.68</v>
      </c>
      <c r="G399">
        <v>47.82</v>
      </c>
      <c r="H399">
        <v>291.97000000000003</v>
      </c>
      <c r="I399">
        <v>0</v>
      </c>
    </row>
    <row r="400" spans="1:9">
      <c r="A400" t="s">
        <v>492</v>
      </c>
      <c r="B400">
        <v>579.79759999999999</v>
      </c>
      <c r="C400">
        <v>28.160900000000002</v>
      </c>
      <c r="D400">
        <v>35.297800000000002</v>
      </c>
      <c r="E400">
        <v>36.119</v>
      </c>
      <c r="F400">
        <v>25553.23</v>
      </c>
      <c r="G400">
        <v>35.15</v>
      </c>
      <c r="H400">
        <v>292.57</v>
      </c>
      <c r="I400">
        <v>0</v>
      </c>
    </row>
    <row r="401" spans="1:9">
      <c r="A401" t="s">
        <v>493</v>
      </c>
      <c r="B401">
        <v>5299.5047999999997</v>
      </c>
      <c r="C401">
        <v>40.162100000000002</v>
      </c>
      <c r="D401">
        <v>41.447200000000002</v>
      </c>
      <c r="E401">
        <v>42.921599999999998</v>
      </c>
      <c r="F401">
        <v>56012.3</v>
      </c>
      <c r="G401">
        <v>41.96</v>
      </c>
      <c r="H401">
        <v>292.12</v>
      </c>
      <c r="I401">
        <v>0</v>
      </c>
    </row>
    <row r="402" spans="1:9">
      <c r="A402" t="s">
        <v>494</v>
      </c>
      <c r="B402">
        <v>2072.6583999999998</v>
      </c>
      <c r="C402">
        <v>36.507199999999997</v>
      </c>
      <c r="D402">
        <v>38.943300000000001</v>
      </c>
      <c r="E402">
        <v>40.648099999999999</v>
      </c>
      <c r="F402">
        <v>39539.86</v>
      </c>
      <c r="G402">
        <v>33.020000000000003</v>
      </c>
      <c r="H402">
        <v>270.35000000000002</v>
      </c>
      <c r="I402">
        <v>0</v>
      </c>
    </row>
    <row r="403" spans="1:9">
      <c r="A403" t="s">
        <v>495</v>
      </c>
      <c r="B403">
        <v>921.35760000000005</v>
      </c>
      <c r="C403">
        <v>33.429600000000001</v>
      </c>
      <c r="D403">
        <v>37.269599999999997</v>
      </c>
      <c r="E403">
        <v>39.147599999999997</v>
      </c>
      <c r="F403">
        <v>34238.199999999997</v>
      </c>
      <c r="G403">
        <v>26.86</v>
      </c>
      <c r="H403">
        <v>291.89</v>
      </c>
      <c r="I403">
        <v>0</v>
      </c>
    </row>
    <row r="404" spans="1:9">
      <c r="A404" t="s">
        <v>496</v>
      </c>
      <c r="B404">
        <v>416.25760000000002</v>
      </c>
      <c r="C404">
        <v>30.576799999999999</v>
      </c>
      <c r="D404">
        <v>36.057600000000001</v>
      </c>
      <c r="E404">
        <v>37.864600000000003</v>
      </c>
      <c r="F404">
        <v>26233.03</v>
      </c>
      <c r="G404">
        <v>23.97</v>
      </c>
      <c r="H404">
        <v>285.27</v>
      </c>
      <c r="I404">
        <v>0</v>
      </c>
    </row>
    <row r="405" spans="1:9">
      <c r="A405" t="s">
        <v>497</v>
      </c>
      <c r="B405">
        <v>1512.0160000000001</v>
      </c>
      <c r="C405">
        <v>41.396999999999998</v>
      </c>
      <c r="D405">
        <v>44.158900000000003</v>
      </c>
      <c r="E405">
        <v>43.427500000000002</v>
      </c>
      <c r="F405">
        <v>17499.12</v>
      </c>
      <c r="G405">
        <v>15.9</v>
      </c>
      <c r="H405">
        <v>151.16</v>
      </c>
      <c r="I405">
        <v>0</v>
      </c>
    </row>
    <row r="406" spans="1:9">
      <c r="A406" t="s">
        <v>498</v>
      </c>
      <c r="B406">
        <v>748.04399999999998</v>
      </c>
      <c r="C406">
        <v>37.458399999999997</v>
      </c>
      <c r="D406">
        <v>41.481099999999998</v>
      </c>
      <c r="E406">
        <v>40.348599999999998</v>
      </c>
      <c r="F406">
        <v>13844.76</v>
      </c>
      <c r="G406">
        <v>15.07</v>
      </c>
      <c r="H406">
        <v>150.06</v>
      </c>
      <c r="I406">
        <v>0</v>
      </c>
    </row>
    <row r="407" spans="1:9">
      <c r="A407" t="s">
        <v>499</v>
      </c>
      <c r="B407">
        <v>374.96</v>
      </c>
      <c r="C407">
        <v>33.985199999999999</v>
      </c>
      <c r="D407">
        <v>39.6053</v>
      </c>
      <c r="E407">
        <v>38.304900000000004</v>
      </c>
      <c r="F407">
        <v>11232.87</v>
      </c>
      <c r="G407">
        <v>13.59</v>
      </c>
      <c r="H407">
        <v>167.62</v>
      </c>
      <c r="I407">
        <v>0</v>
      </c>
    </row>
    <row r="408" spans="1:9">
      <c r="A408" t="s">
        <v>500</v>
      </c>
      <c r="B408">
        <v>190.69919999999999</v>
      </c>
      <c r="C408">
        <v>31.0261</v>
      </c>
      <c r="D408">
        <v>38.045900000000003</v>
      </c>
      <c r="E408">
        <v>36.5349</v>
      </c>
      <c r="F408">
        <v>9283.84</v>
      </c>
      <c r="G408">
        <v>12.37</v>
      </c>
      <c r="H408">
        <v>153.87</v>
      </c>
      <c r="I408">
        <v>0</v>
      </c>
    </row>
    <row r="409" spans="1:9">
      <c r="A409" t="s">
        <v>501</v>
      </c>
      <c r="B409">
        <v>2112.3656000000001</v>
      </c>
      <c r="C409">
        <v>38.601700000000001</v>
      </c>
      <c r="D409">
        <v>42.786499999999997</v>
      </c>
      <c r="E409">
        <v>43.858800000000002</v>
      </c>
      <c r="F409">
        <v>11574.36</v>
      </c>
      <c r="G409">
        <v>21.64</v>
      </c>
      <c r="H409">
        <v>148.88</v>
      </c>
      <c r="I409">
        <v>0</v>
      </c>
    </row>
    <row r="410" spans="1:9">
      <c r="A410" t="s">
        <v>502</v>
      </c>
      <c r="B410">
        <v>732.5</v>
      </c>
      <c r="C410">
        <v>34.838999999999999</v>
      </c>
      <c r="D410">
        <v>40.695599999999999</v>
      </c>
      <c r="E410">
        <v>41.683599999999998</v>
      </c>
      <c r="F410">
        <v>8197.34</v>
      </c>
      <c r="G410">
        <v>17.39</v>
      </c>
      <c r="H410">
        <v>163.68</v>
      </c>
      <c r="I410">
        <v>0</v>
      </c>
    </row>
    <row r="411" spans="1:9">
      <c r="A411" t="s">
        <v>503</v>
      </c>
      <c r="B411">
        <v>266.06639999999999</v>
      </c>
      <c r="C411">
        <v>31.692699999999999</v>
      </c>
      <c r="D411">
        <v>39.318600000000004</v>
      </c>
      <c r="E411">
        <v>40.2575</v>
      </c>
      <c r="F411">
        <v>5729.09</v>
      </c>
      <c r="G411">
        <v>14.4</v>
      </c>
      <c r="H411">
        <v>169.65</v>
      </c>
      <c r="I411">
        <v>0</v>
      </c>
    </row>
    <row r="412" spans="1:9">
      <c r="A412" t="s">
        <v>504</v>
      </c>
      <c r="B412">
        <v>104.7552</v>
      </c>
      <c r="C412">
        <v>28.837700000000002</v>
      </c>
      <c r="D412">
        <v>38.393900000000002</v>
      </c>
      <c r="E412">
        <v>39.24</v>
      </c>
      <c r="F412">
        <v>4137.8</v>
      </c>
      <c r="G412">
        <v>12.76</v>
      </c>
      <c r="H412">
        <v>169.29</v>
      </c>
      <c r="I412">
        <v>0</v>
      </c>
    </row>
    <row r="413" spans="1:9">
      <c r="A413" t="s">
        <v>505</v>
      </c>
      <c r="B413">
        <v>1773.8032000000001</v>
      </c>
      <c r="C413">
        <v>38.3857</v>
      </c>
      <c r="D413">
        <v>40.950000000000003</v>
      </c>
      <c r="E413">
        <v>41.734699999999997</v>
      </c>
      <c r="F413">
        <v>13285.99</v>
      </c>
      <c r="G413">
        <v>16.46</v>
      </c>
      <c r="H413">
        <v>169.71</v>
      </c>
      <c r="I413">
        <v>0</v>
      </c>
    </row>
    <row r="414" spans="1:9">
      <c r="A414" t="s">
        <v>506</v>
      </c>
      <c r="B414">
        <v>736.04240000000004</v>
      </c>
      <c r="C414">
        <v>34.650100000000002</v>
      </c>
      <c r="D414">
        <v>38.235100000000003</v>
      </c>
      <c r="E414">
        <v>38.889699999999998</v>
      </c>
      <c r="F414">
        <v>9836.99</v>
      </c>
      <c r="G414">
        <v>14.52</v>
      </c>
      <c r="H414">
        <v>169.86</v>
      </c>
      <c r="I414">
        <v>0</v>
      </c>
    </row>
    <row r="415" spans="1:9">
      <c r="A415" t="s">
        <v>507</v>
      </c>
      <c r="B415">
        <v>318.8664</v>
      </c>
      <c r="C415">
        <v>31.2197</v>
      </c>
      <c r="D415">
        <v>36.235999999999997</v>
      </c>
      <c r="E415">
        <v>36.887300000000003</v>
      </c>
      <c r="F415">
        <v>7509.22</v>
      </c>
      <c r="G415">
        <v>11.57</v>
      </c>
      <c r="H415">
        <v>168.83</v>
      </c>
      <c r="I415">
        <v>0</v>
      </c>
    </row>
    <row r="416" spans="1:9">
      <c r="A416" t="s">
        <v>508</v>
      </c>
      <c r="B416">
        <v>136.91839999999999</v>
      </c>
      <c r="C416">
        <v>28.160900000000002</v>
      </c>
      <c r="D416">
        <v>34.823</v>
      </c>
      <c r="E416">
        <v>35.479500000000002</v>
      </c>
      <c r="F416">
        <v>5703.72</v>
      </c>
      <c r="G416">
        <v>10.66</v>
      </c>
      <c r="H416">
        <v>169.23</v>
      </c>
      <c r="I416">
        <v>0</v>
      </c>
    </row>
    <row r="417" spans="1:9">
      <c r="A417" t="s">
        <v>509</v>
      </c>
      <c r="B417">
        <v>1190.4072000000001</v>
      </c>
      <c r="C417">
        <v>40.341099999999997</v>
      </c>
      <c r="D417">
        <v>41.382300000000001</v>
      </c>
      <c r="E417">
        <v>42.487099999999998</v>
      </c>
      <c r="F417">
        <v>12926.17</v>
      </c>
      <c r="G417">
        <v>11.73</v>
      </c>
      <c r="H417">
        <v>168.93</v>
      </c>
      <c r="I417">
        <v>0</v>
      </c>
    </row>
    <row r="418" spans="1:9">
      <c r="A418" t="s">
        <v>510</v>
      </c>
      <c r="B418">
        <v>562.36400000000003</v>
      </c>
      <c r="C418">
        <v>36.260300000000001</v>
      </c>
      <c r="D418">
        <v>38.621200000000002</v>
      </c>
      <c r="E418">
        <v>39.864699999999999</v>
      </c>
      <c r="F418">
        <v>10052.31</v>
      </c>
      <c r="G418">
        <v>10.4</v>
      </c>
      <c r="H418">
        <v>150.13999999999999</v>
      </c>
      <c r="I418">
        <v>0</v>
      </c>
    </row>
    <row r="419" spans="1:9">
      <c r="A419" t="s">
        <v>511</v>
      </c>
      <c r="B419">
        <v>271.58640000000003</v>
      </c>
      <c r="C419">
        <v>32.655700000000003</v>
      </c>
      <c r="D419">
        <v>36.886699999999998</v>
      </c>
      <c r="E419">
        <v>38.092100000000002</v>
      </c>
      <c r="F419">
        <v>7867.6</v>
      </c>
      <c r="G419">
        <v>9.33</v>
      </c>
      <c r="H419">
        <v>151.27000000000001</v>
      </c>
      <c r="I419">
        <v>0</v>
      </c>
    </row>
    <row r="420" spans="1:9">
      <c r="A420" t="s">
        <v>512</v>
      </c>
      <c r="B420">
        <v>130.6832</v>
      </c>
      <c r="C420">
        <v>29.712700000000002</v>
      </c>
      <c r="D420">
        <v>35.505899999999997</v>
      </c>
      <c r="E420">
        <v>36.603900000000003</v>
      </c>
      <c r="F420">
        <v>6142.47</v>
      </c>
      <c r="G420">
        <v>7.75</v>
      </c>
      <c r="H420">
        <v>150.08000000000001</v>
      </c>
      <c r="I420">
        <v>0</v>
      </c>
    </row>
    <row r="421" spans="1:9">
      <c r="A421" t="s">
        <v>513</v>
      </c>
      <c r="B421">
        <v>2121.5264000000002</v>
      </c>
      <c r="C421">
        <v>42.945599999999999</v>
      </c>
      <c r="D421">
        <v>46.819499999999998</v>
      </c>
      <c r="E421">
        <v>48.242199999999997</v>
      </c>
      <c r="F421">
        <v>47738.400000000001</v>
      </c>
      <c r="G421">
        <v>66.52</v>
      </c>
      <c r="H421">
        <v>483.09</v>
      </c>
      <c r="I421">
        <v>0</v>
      </c>
    </row>
    <row r="422" spans="1:9">
      <c r="A422" t="s">
        <v>514</v>
      </c>
      <c r="B422">
        <v>768.66880000000003</v>
      </c>
      <c r="C422">
        <v>40.734499999999997</v>
      </c>
      <c r="D422">
        <v>44.906999999999996</v>
      </c>
      <c r="E422">
        <v>46.283099999999997</v>
      </c>
      <c r="F422">
        <v>33524.18</v>
      </c>
      <c r="G422">
        <v>52.82</v>
      </c>
      <c r="H422">
        <v>481.14</v>
      </c>
      <c r="I422">
        <v>0</v>
      </c>
    </row>
    <row r="423" spans="1:9">
      <c r="A423" t="s">
        <v>515</v>
      </c>
      <c r="B423">
        <v>375.19119999999998</v>
      </c>
      <c r="C423">
        <v>38.183500000000002</v>
      </c>
      <c r="D423">
        <v>43.240699999999997</v>
      </c>
      <c r="E423">
        <v>44.569600000000001</v>
      </c>
      <c r="F423">
        <v>26300.55</v>
      </c>
      <c r="G423">
        <v>46.49</v>
      </c>
      <c r="H423">
        <v>455.47</v>
      </c>
      <c r="I423">
        <v>0</v>
      </c>
    </row>
    <row r="424" spans="1:9">
      <c r="A424" t="s">
        <v>516</v>
      </c>
      <c r="B424">
        <v>198.16399999999999</v>
      </c>
      <c r="C424">
        <v>35.345199999999998</v>
      </c>
      <c r="D424">
        <v>41.852899999999998</v>
      </c>
      <c r="E424">
        <v>43.0901</v>
      </c>
      <c r="F424">
        <v>22674.05</v>
      </c>
      <c r="G424">
        <v>45.61</v>
      </c>
      <c r="H424">
        <v>482.54</v>
      </c>
      <c r="I424">
        <v>0</v>
      </c>
    </row>
    <row r="425" spans="1:9">
      <c r="A425" t="s">
        <v>517</v>
      </c>
      <c r="B425">
        <v>1578.5432000000001</v>
      </c>
      <c r="C425">
        <v>43.224800000000002</v>
      </c>
      <c r="D425">
        <v>48.449399999999997</v>
      </c>
      <c r="E425">
        <v>49.130099999999999</v>
      </c>
      <c r="F425">
        <v>40625.870000000003</v>
      </c>
      <c r="G425">
        <v>59.15</v>
      </c>
      <c r="H425">
        <v>481.61</v>
      </c>
      <c r="I425">
        <v>0</v>
      </c>
    </row>
    <row r="426" spans="1:9">
      <c r="A426" t="s">
        <v>518</v>
      </c>
      <c r="B426">
        <v>376.21679999999998</v>
      </c>
      <c r="C426">
        <v>41.5398</v>
      </c>
      <c r="D426">
        <v>46.919600000000003</v>
      </c>
      <c r="E426">
        <v>47.6511</v>
      </c>
      <c r="F426">
        <v>25706.27</v>
      </c>
      <c r="G426">
        <v>48.89</v>
      </c>
      <c r="H426">
        <v>477.46</v>
      </c>
      <c r="I426">
        <v>0</v>
      </c>
    </row>
    <row r="427" spans="1:9">
      <c r="A427" t="s">
        <v>519</v>
      </c>
      <c r="B427">
        <v>156.33840000000001</v>
      </c>
      <c r="C427">
        <v>39.564399999999999</v>
      </c>
      <c r="D427">
        <v>45.475999999999999</v>
      </c>
      <c r="E427">
        <v>46.242199999999997</v>
      </c>
      <c r="F427">
        <v>19710.63</v>
      </c>
      <c r="G427">
        <v>40.57</v>
      </c>
      <c r="H427">
        <v>454.43</v>
      </c>
      <c r="I427">
        <v>0</v>
      </c>
    </row>
    <row r="428" spans="1:9">
      <c r="A428" t="s">
        <v>520</v>
      </c>
      <c r="B428">
        <v>81.752799999999993</v>
      </c>
      <c r="C428">
        <v>37.2166</v>
      </c>
      <c r="D428">
        <v>43.911200000000001</v>
      </c>
      <c r="E428">
        <v>44.6616</v>
      </c>
      <c r="F428">
        <v>17614.55</v>
      </c>
      <c r="G428">
        <v>37.22</v>
      </c>
      <c r="H428">
        <v>479.21</v>
      </c>
      <c r="I428">
        <v>0</v>
      </c>
    </row>
    <row r="429" spans="1:9">
      <c r="A429" t="s">
        <v>521</v>
      </c>
      <c r="B429">
        <v>1904.3391999999999</v>
      </c>
      <c r="C429">
        <v>43.595700000000001</v>
      </c>
      <c r="D429">
        <v>47.682299999999998</v>
      </c>
      <c r="E429">
        <v>48.681399999999996</v>
      </c>
      <c r="F429">
        <v>53138.16</v>
      </c>
      <c r="G429">
        <v>68.010000000000005</v>
      </c>
      <c r="H429">
        <v>478.98</v>
      </c>
      <c r="I429">
        <v>0</v>
      </c>
    </row>
    <row r="430" spans="1:9">
      <c r="A430" t="s">
        <v>522</v>
      </c>
      <c r="B430">
        <v>623.20960000000002</v>
      </c>
      <c r="C430">
        <v>41.614800000000002</v>
      </c>
      <c r="D430">
        <v>45.790100000000002</v>
      </c>
      <c r="E430">
        <v>46.869399999999999</v>
      </c>
      <c r="F430">
        <v>37465.19</v>
      </c>
      <c r="G430">
        <v>66.8</v>
      </c>
      <c r="H430">
        <v>475.85</v>
      </c>
      <c r="I430">
        <v>0</v>
      </c>
    </row>
    <row r="431" spans="1:9">
      <c r="A431" t="s">
        <v>523</v>
      </c>
      <c r="B431">
        <v>269.9248</v>
      </c>
      <c r="C431">
        <v>39.349499999999999</v>
      </c>
      <c r="D431">
        <v>44.150700000000001</v>
      </c>
      <c r="E431">
        <v>45.276699999999998</v>
      </c>
      <c r="F431">
        <v>29499.18</v>
      </c>
      <c r="G431">
        <v>56.27</v>
      </c>
      <c r="H431">
        <v>477.8</v>
      </c>
      <c r="I431">
        <v>0</v>
      </c>
    </row>
    <row r="432" spans="1:9">
      <c r="A432" t="s">
        <v>524</v>
      </c>
      <c r="B432">
        <v>138.72559999999999</v>
      </c>
      <c r="C432">
        <v>36.782800000000002</v>
      </c>
      <c r="D432">
        <v>42.614600000000003</v>
      </c>
      <c r="E432">
        <v>43.802799999999998</v>
      </c>
      <c r="F432">
        <v>23572.83</v>
      </c>
      <c r="G432">
        <v>50.75</v>
      </c>
      <c r="H432">
        <v>478.7</v>
      </c>
      <c r="I432">
        <v>0</v>
      </c>
    </row>
    <row r="433" spans="1:9">
      <c r="A433" t="s">
        <v>525</v>
      </c>
      <c r="B433">
        <v>3415.7759999999998</v>
      </c>
      <c r="C433">
        <v>40.817599999999999</v>
      </c>
      <c r="D433">
        <v>43.0413</v>
      </c>
      <c r="E433">
        <v>43.6815</v>
      </c>
      <c r="F433">
        <v>52869.68</v>
      </c>
      <c r="G433">
        <v>41.74</v>
      </c>
      <c r="H433">
        <v>292.64999999999998</v>
      </c>
      <c r="I433">
        <v>0</v>
      </c>
    </row>
    <row r="434" spans="1:9">
      <c r="A434" t="s">
        <v>526</v>
      </c>
      <c r="B434">
        <v>1595.8728000000001</v>
      </c>
      <c r="C434">
        <v>37.5152</v>
      </c>
      <c r="D434">
        <v>40.383699999999997</v>
      </c>
      <c r="E434">
        <v>40.793700000000001</v>
      </c>
      <c r="F434">
        <v>46150.13</v>
      </c>
      <c r="G434">
        <v>39.369999999999997</v>
      </c>
      <c r="H434">
        <v>269.76</v>
      </c>
      <c r="I434">
        <v>0</v>
      </c>
    </row>
    <row r="435" spans="1:9">
      <c r="A435" t="s">
        <v>527</v>
      </c>
      <c r="B435">
        <v>782.61919999999998</v>
      </c>
      <c r="C435">
        <v>34.5383</v>
      </c>
      <c r="D435">
        <v>38.430500000000002</v>
      </c>
      <c r="E435">
        <v>38.755499999999998</v>
      </c>
      <c r="F435">
        <v>37213.58</v>
      </c>
      <c r="G435">
        <v>34.17</v>
      </c>
      <c r="H435">
        <v>269.81</v>
      </c>
      <c r="I435">
        <v>0</v>
      </c>
    </row>
    <row r="436" spans="1:9">
      <c r="A436" t="s">
        <v>528</v>
      </c>
      <c r="B436">
        <v>407.65280000000001</v>
      </c>
      <c r="C436">
        <v>31.909099999999999</v>
      </c>
      <c r="D436">
        <v>36.687399999999997</v>
      </c>
      <c r="E436">
        <v>36.894399999999997</v>
      </c>
      <c r="F436">
        <v>29853.18</v>
      </c>
      <c r="G436">
        <v>31.93</v>
      </c>
      <c r="H436">
        <v>276.47000000000003</v>
      </c>
      <c r="I436">
        <v>0</v>
      </c>
    </row>
    <row r="437" spans="1:9">
      <c r="A437" t="s">
        <v>529</v>
      </c>
      <c r="B437">
        <v>4723.9333999999999</v>
      </c>
      <c r="C437">
        <v>43.363500000000002</v>
      </c>
      <c r="D437">
        <v>46.0717</v>
      </c>
      <c r="E437">
        <v>46.293300000000002</v>
      </c>
      <c r="F437">
        <v>136809.01</v>
      </c>
      <c r="G437">
        <v>80.180000000000007</v>
      </c>
      <c r="H437">
        <v>396.68</v>
      </c>
      <c r="I437">
        <v>0</v>
      </c>
    </row>
    <row r="438" spans="1:9">
      <c r="A438" t="s">
        <v>530</v>
      </c>
      <c r="B438">
        <v>2309.5180999999998</v>
      </c>
      <c r="C438">
        <v>39.342599999999997</v>
      </c>
      <c r="D438">
        <v>43.3461</v>
      </c>
      <c r="E438">
        <v>43.3277</v>
      </c>
      <c r="F438">
        <v>100328.36</v>
      </c>
      <c r="G438">
        <v>70.84</v>
      </c>
      <c r="H438">
        <v>417.37</v>
      </c>
      <c r="I438">
        <v>0</v>
      </c>
    </row>
    <row r="439" spans="1:9">
      <c r="A439" t="s">
        <v>531</v>
      </c>
      <c r="B439">
        <v>1146.5630000000001</v>
      </c>
      <c r="C439">
        <v>35.686700000000002</v>
      </c>
      <c r="D439">
        <v>41.389499999999998</v>
      </c>
      <c r="E439">
        <v>40.960900000000002</v>
      </c>
      <c r="F439">
        <v>79451.820000000007</v>
      </c>
      <c r="G439">
        <v>62.29</v>
      </c>
      <c r="H439">
        <v>394.87</v>
      </c>
      <c r="I439">
        <v>0</v>
      </c>
    </row>
    <row r="440" spans="1:9">
      <c r="A440" t="s">
        <v>532</v>
      </c>
      <c r="B440">
        <v>551.67790000000002</v>
      </c>
      <c r="C440">
        <v>32.421799999999998</v>
      </c>
      <c r="D440">
        <v>39.747300000000003</v>
      </c>
      <c r="E440">
        <v>38.594499999999996</v>
      </c>
      <c r="F440">
        <v>60454.68</v>
      </c>
      <c r="G440">
        <v>61.54</v>
      </c>
      <c r="H440">
        <v>417.97</v>
      </c>
      <c r="I440">
        <v>0</v>
      </c>
    </row>
    <row r="441" spans="1:9">
      <c r="A441" t="s">
        <v>533</v>
      </c>
      <c r="B441">
        <v>285.67680000000001</v>
      </c>
      <c r="C441">
        <v>47.491799999999998</v>
      </c>
      <c r="D441">
        <v>46.2684</v>
      </c>
      <c r="E441">
        <v>46.244399999999999</v>
      </c>
      <c r="F441">
        <v>11518.44</v>
      </c>
      <c r="G441">
        <v>14.9</v>
      </c>
      <c r="H441">
        <v>454.46</v>
      </c>
      <c r="I441">
        <v>0</v>
      </c>
    </row>
    <row r="442" spans="1:9">
      <c r="A442" t="s">
        <v>534</v>
      </c>
      <c r="B442">
        <v>212.876</v>
      </c>
      <c r="C442">
        <v>43.2819</v>
      </c>
      <c r="D442">
        <v>42.315800000000003</v>
      </c>
      <c r="E442">
        <v>42.541800000000002</v>
      </c>
      <c r="F442">
        <v>10996.52</v>
      </c>
      <c r="G442">
        <v>14.13</v>
      </c>
      <c r="H442">
        <v>464.07</v>
      </c>
      <c r="I442">
        <v>0</v>
      </c>
    </row>
    <row r="443" spans="1:9">
      <c r="A443" t="s">
        <v>535</v>
      </c>
      <c r="B443">
        <v>159.41999999999999</v>
      </c>
      <c r="C443">
        <v>38.683599999999998</v>
      </c>
      <c r="D443">
        <v>39.648699999999998</v>
      </c>
      <c r="E443">
        <v>40.181199999999997</v>
      </c>
      <c r="F443">
        <v>10207.959999999999</v>
      </c>
      <c r="G443">
        <v>13.19</v>
      </c>
      <c r="H443">
        <v>479.08</v>
      </c>
      <c r="I443">
        <v>0</v>
      </c>
    </row>
    <row r="444" spans="1:9">
      <c r="A444" t="s">
        <v>536</v>
      </c>
      <c r="B444">
        <v>115.47920000000001</v>
      </c>
      <c r="C444">
        <v>33.8992</v>
      </c>
      <c r="D444">
        <v>38.302700000000002</v>
      </c>
      <c r="E444">
        <v>38.728400000000001</v>
      </c>
      <c r="F444">
        <v>9921.83</v>
      </c>
      <c r="G444">
        <v>13.24</v>
      </c>
      <c r="H444">
        <v>477.74</v>
      </c>
      <c r="I444">
        <v>0</v>
      </c>
    </row>
    <row r="445" spans="1:9">
      <c r="A445" t="s">
        <v>537</v>
      </c>
      <c r="B445">
        <v>553.34109999999998</v>
      </c>
      <c r="C445">
        <v>49.2333</v>
      </c>
      <c r="D445">
        <v>52.229700000000001</v>
      </c>
      <c r="E445">
        <v>53.320700000000002</v>
      </c>
      <c r="F445">
        <v>43528.62</v>
      </c>
      <c r="G445">
        <v>38.15</v>
      </c>
      <c r="H445">
        <v>478.68</v>
      </c>
      <c r="I445">
        <v>0</v>
      </c>
    </row>
    <row r="446" spans="1:9">
      <c r="A446" t="s">
        <v>538</v>
      </c>
      <c r="B446">
        <v>315.2106</v>
      </c>
      <c r="C446">
        <v>45.445700000000002</v>
      </c>
      <c r="D446">
        <v>48.973999999999997</v>
      </c>
      <c r="E446">
        <v>50.162599999999998</v>
      </c>
      <c r="F446">
        <v>38310.620000000003</v>
      </c>
      <c r="G446">
        <v>36.369999999999997</v>
      </c>
      <c r="H446">
        <v>479.63</v>
      </c>
      <c r="I446">
        <v>0</v>
      </c>
    </row>
    <row r="447" spans="1:9">
      <c r="A447" t="s">
        <v>539</v>
      </c>
      <c r="B447">
        <v>184.34530000000001</v>
      </c>
      <c r="C447">
        <v>41.787500000000001</v>
      </c>
      <c r="D447">
        <v>46.593600000000002</v>
      </c>
      <c r="E447">
        <v>47.954599999999999</v>
      </c>
      <c r="F447">
        <v>34665.99</v>
      </c>
      <c r="G447">
        <v>37.01</v>
      </c>
      <c r="H447">
        <v>480.23</v>
      </c>
      <c r="I447">
        <v>0</v>
      </c>
    </row>
    <row r="448" spans="1:9">
      <c r="A448" t="s">
        <v>540</v>
      </c>
      <c r="B448">
        <v>113.6413</v>
      </c>
      <c r="C448">
        <v>37.989699999999999</v>
      </c>
      <c r="D448">
        <v>44.762300000000003</v>
      </c>
      <c r="E448">
        <v>46.247100000000003</v>
      </c>
      <c r="F448">
        <v>30861.89</v>
      </c>
      <c r="G448">
        <v>37.36</v>
      </c>
      <c r="H448">
        <v>481.81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I452"/>
  <sheetViews>
    <sheetView workbookViewId="0">
      <selection sqref="A1:XFD1048576"/>
    </sheetView>
  </sheetViews>
  <sheetFormatPr defaultColWidth="9" defaultRowHeight="14.25"/>
  <cols>
    <col min="1" max="1" width="120.5" customWidth="1"/>
  </cols>
  <sheetData>
    <row r="1" spans="1:9">
      <c r="A1" t="s">
        <v>541</v>
      </c>
      <c r="B1">
        <v>20163.376199999999</v>
      </c>
      <c r="C1">
        <v>41.767699999999998</v>
      </c>
      <c r="D1">
        <v>49.587000000000003</v>
      </c>
      <c r="E1">
        <v>48.335500000000003</v>
      </c>
      <c r="F1">
        <v>205394.5</v>
      </c>
      <c r="G1">
        <v>41.16</v>
      </c>
      <c r="H1">
        <v>1325.52</v>
      </c>
      <c r="I1">
        <v>0</v>
      </c>
    </row>
    <row r="2" spans="1:9">
      <c r="A2" t="s">
        <v>542</v>
      </c>
      <c r="B2">
        <v>6008.7615999999998</v>
      </c>
      <c r="C2">
        <v>40.274299999999997</v>
      </c>
      <c r="D2">
        <v>48.649299999999997</v>
      </c>
      <c r="E2">
        <v>46.7761</v>
      </c>
      <c r="F2">
        <v>86822.19</v>
      </c>
      <c r="G2">
        <v>30.13</v>
      </c>
      <c r="H2">
        <v>1284.67</v>
      </c>
      <c r="I2">
        <v>0</v>
      </c>
    </row>
    <row r="3" spans="1:9">
      <c r="A3" t="s">
        <v>543</v>
      </c>
      <c r="B3">
        <v>3378.4427000000001</v>
      </c>
      <c r="C3">
        <v>39.498399999999997</v>
      </c>
      <c r="D3">
        <v>47.705599999999997</v>
      </c>
      <c r="E3">
        <v>45.3992</v>
      </c>
      <c r="F3">
        <v>46797</v>
      </c>
      <c r="G3">
        <v>28.08</v>
      </c>
      <c r="H3">
        <v>1285.83</v>
      </c>
      <c r="I3">
        <v>0</v>
      </c>
    </row>
    <row r="4" spans="1:9">
      <c r="A4" t="s">
        <v>544</v>
      </c>
      <c r="B4">
        <v>2045.3838000000001</v>
      </c>
      <c r="C4">
        <v>38.398299999999999</v>
      </c>
      <c r="D4">
        <v>46.8279</v>
      </c>
      <c r="E4">
        <v>44.155999999999999</v>
      </c>
      <c r="F4">
        <v>28293.95</v>
      </c>
      <c r="G4">
        <v>25.3</v>
      </c>
      <c r="H4">
        <v>1326.01</v>
      </c>
      <c r="I4">
        <v>0</v>
      </c>
    </row>
    <row r="5" spans="1:9">
      <c r="A5" t="s">
        <v>545</v>
      </c>
      <c r="B5">
        <v>55254.6158</v>
      </c>
      <c r="C5">
        <v>45.943100000000001</v>
      </c>
      <c r="D5">
        <v>45.019100000000002</v>
      </c>
      <c r="E5">
        <v>43.509599999999999</v>
      </c>
      <c r="F5">
        <v>193794.13</v>
      </c>
      <c r="G5">
        <v>43.42</v>
      </c>
      <c r="H5">
        <v>1185.32</v>
      </c>
      <c r="I5">
        <v>0</v>
      </c>
    </row>
    <row r="6" spans="1:9">
      <c r="A6" t="s">
        <v>546</v>
      </c>
      <c r="B6">
        <v>27132.518400000001</v>
      </c>
      <c r="C6">
        <v>41.8782</v>
      </c>
      <c r="D6">
        <v>43.199399999999997</v>
      </c>
      <c r="E6">
        <v>41.544899999999998</v>
      </c>
      <c r="F6">
        <v>135227</v>
      </c>
      <c r="G6">
        <v>37.39</v>
      </c>
      <c r="H6">
        <v>1215.03</v>
      </c>
      <c r="I6">
        <v>0</v>
      </c>
    </row>
    <row r="7" spans="1:9">
      <c r="A7" t="s">
        <v>547</v>
      </c>
      <c r="B7">
        <v>14196.676299999999</v>
      </c>
      <c r="C7">
        <v>39.088200000000001</v>
      </c>
      <c r="D7">
        <v>41.808799999999998</v>
      </c>
      <c r="E7">
        <v>40.201900000000002</v>
      </c>
      <c r="F7">
        <v>83984.11</v>
      </c>
      <c r="G7">
        <v>32.43</v>
      </c>
      <c r="H7">
        <v>1212.55</v>
      </c>
      <c r="I7">
        <v>0</v>
      </c>
    </row>
    <row r="8" spans="1:9">
      <c r="A8" t="s">
        <v>548</v>
      </c>
      <c r="B8">
        <v>7701.8579</v>
      </c>
      <c r="C8">
        <v>36.5349</v>
      </c>
      <c r="D8">
        <v>40.7669</v>
      </c>
      <c r="E8">
        <v>39.258400000000002</v>
      </c>
      <c r="F8">
        <v>50180.46</v>
      </c>
      <c r="G8">
        <v>28.71</v>
      </c>
      <c r="H8">
        <v>1192.31</v>
      </c>
      <c r="I8">
        <v>0</v>
      </c>
    </row>
    <row r="9" spans="1:9">
      <c r="A9" t="s">
        <v>549</v>
      </c>
      <c r="B9">
        <v>22323.6158</v>
      </c>
      <c r="C9">
        <v>42.756300000000003</v>
      </c>
      <c r="D9">
        <v>45.555500000000002</v>
      </c>
      <c r="E9">
        <v>44.634099999999997</v>
      </c>
      <c r="F9">
        <v>220798.69</v>
      </c>
      <c r="G9">
        <v>48.33</v>
      </c>
      <c r="H9">
        <v>1229.06</v>
      </c>
      <c r="I9">
        <v>0</v>
      </c>
    </row>
    <row r="10" spans="1:9">
      <c r="A10" t="s">
        <v>550</v>
      </c>
      <c r="B10">
        <v>7424.5033999999996</v>
      </c>
      <c r="C10">
        <v>39.075299999999999</v>
      </c>
      <c r="D10">
        <v>42.146500000000003</v>
      </c>
      <c r="E10">
        <v>42.6128</v>
      </c>
      <c r="F10">
        <v>122269</v>
      </c>
      <c r="G10">
        <v>34.69</v>
      </c>
      <c r="H10">
        <v>1212.9100000000001</v>
      </c>
      <c r="I10">
        <v>0</v>
      </c>
    </row>
    <row r="11" spans="1:9">
      <c r="A11" t="s">
        <v>551</v>
      </c>
      <c r="B11">
        <v>3137.0763000000002</v>
      </c>
      <c r="C11">
        <v>37.427900000000001</v>
      </c>
      <c r="D11">
        <v>39.604799999999997</v>
      </c>
      <c r="E11">
        <v>41.1447</v>
      </c>
      <c r="F11">
        <v>63562.42</v>
      </c>
      <c r="G11">
        <v>28.52</v>
      </c>
      <c r="H11">
        <v>1210.98</v>
      </c>
      <c r="I11">
        <v>0</v>
      </c>
    </row>
    <row r="12" spans="1:9">
      <c r="A12" t="s">
        <v>552</v>
      </c>
      <c r="B12">
        <v>1704.6584</v>
      </c>
      <c r="C12">
        <v>36.059800000000003</v>
      </c>
      <c r="D12">
        <v>37.735999999999997</v>
      </c>
      <c r="E12">
        <v>39.7303</v>
      </c>
      <c r="F12">
        <v>35211.26</v>
      </c>
      <c r="G12">
        <v>24.82</v>
      </c>
      <c r="H12">
        <v>1213.29</v>
      </c>
      <c r="I12">
        <v>0</v>
      </c>
    </row>
    <row r="13" spans="1:9">
      <c r="A13" t="s">
        <v>553</v>
      </c>
      <c r="B13">
        <v>49576.05</v>
      </c>
      <c r="C13">
        <v>43.857399999999998</v>
      </c>
      <c r="D13">
        <v>47.847299999999997</v>
      </c>
      <c r="E13">
        <v>44.212699999999998</v>
      </c>
      <c r="F13">
        <v>262557.67</v>
      </c>
      <c r="G13">
        <v>53.68</v>
      </c>
      <c r="H13">
        <v>1319.21</v>
      </c>
      <c r="I13">
        <v>0</v>
      </c>
    </row>
    <row r="14" spans="1:9">
      <c r="A14" t="s">
        <v>554</v>
      </c>
      <c r="B14">
        <v>27624.7484</v>
      </c>
      <c r="C14">
        <v>40.538400000000003</v>
      </c>
      <c r="D14">
        <v>45.767600000000002</v>
      </c>
      <c r="E14">
        <v>41.754399999999997</v>
      </c>
      <c r="F14">
        <v>194162.24</v>
      </c>
      <c r="G14">
        <v>43.57</v>
      </c>
      <c r="H14">
        <v>1296.97</v>
      </c>
      <c r="I14">
        <v>0</v>
      </c>
    </row>
    <row r="15" spans="1:9">
      <c r="A15" t="s">
        <v>555</v>
      </c>
      <c r="B15">
        <v>15361.474700000001</v>
      </c>
      <c r="C15">
        <v>37.382599999999996</v>
      </c>
      <c r="D15">
        <v>44.701300000000003</v>
      </c>
      <c r="E15">
        <v>40.411499999999997</v>
      </c>
      <c r="F15">
        <v>135643.32999999999</v>
      </c>
      <c r="G15">
        <v>36.24</v>
      </c>
      <c r="H15">
        <v>1288.5</v>
      </c>
      <c r="I15">
        <v>0</v>
      </c>
    </row>
    <row r="16" spans="1:9">
      <c r="A16" t="s">
        <v>556</v>
      </c>
      <c r="B16">
        <v>8103.3284000000003</v>
      </c>
      <c r="C16">
        <v>34.327599999999997</v>
      </c>
      <c r="D16">
        <v>44.021599999999999</v>
      </c>
      <c r="E16">
        <v>39.677199999999999</v>
      </c>
      <c r="F16">
        <v>87338.559999999998</v>
      </c>
      <c r="G16">
        <v>32.93</v>
      </c>
      <c r="H16">
        <v>1328.47</v>
      </c>
      <c r="I16">
        <v>0</v>
      </c>
    </row>
    <row r="17" spans="1:9">
      <c r="A17" t="s">
        <v>557</v>
      </c>
      <c r="B17">
        <v>33947.030500000001</v>
      </c>
      <c r="C17">
        <v>42.415399999999998</v>
      </c>
      <c r="D17">
        <v>42.530200000000001</v>
      </c>
      <c r="E17">
        <v>44.145600000000002</v>
      </c>
      <c r="F17">
        <v>203980.79</v>
      </c>
      <c r="G17">
        <v>45.5</v>
      </c>
      <c r="H17">
        <v>1247.4100000000001</v>
      </c>
      <c r="I17">
        <v>0</v>
      </c>
    </row>
    <row r="18" spans="1:9">
      <c r="A18" t="s">
        <v>558</v>
      </c>
      <c r="B18">
        <v>11681.2042</v>
      </c>
      <c r="C18">
        <v>39.954900000000002</v>
      </c>
      <c r="D18">
        <v>41.507199999999997</v>
      </c>
      <c r="E18">
        <v>42.557699999999997</v>
      </c>
      <c r="F18">
        <v>105157.5</v>
      </c>
      <c r="G18">
        <v>33.299999999999997</v>
      </c>
      <c r="H18">
        <v>1212.04</v>
      </c>
      <c r="I18">
        <v>0</v>
      </c>
    </row>
    <row r="19" spans="1:9">
      <c r="A19" t="s">
        <v>559</v>
      </c>
      <c r="B19">
        <v>6764.1836999999996</v>
      </c>
      <c r="C19">
        <v>38.625599999999999</v>
      </c>
      <c r="D19">
        <v>40.750799999999998</v>
      </c>
      <c r="E19">
        <v>41.169899999999998</v>
      </c>
      <c r="F19">
        <v>64294.96</v>
      </c>
      <c r="G19">
        <v>29.83</v>
      </c>
      <c r="H19">
        <v>1230.9000000000001</v>
      </c>
      <c r="I19">
        <v>0</v>
      </c>
    </row>
    <row r="20" spans="1:9">
      <c r="A20" t="s">
        <v>560</v>
      </c>
      <c r="B20">
        <v>4055.4915999999998</v>
      </c>
      <c r="C20">
        <v>36.816600000000001</v>
      </c>
      <c r="D20">
        <v>40.069200000000002</v>
      </c>
      <c r="E20">
        <v>39.972700000000003</v>
      </c>
      <c r="F20">
        <v>41411.1</v>
      </c>
      <c r="G20">
        <v>27.47</v>
      </c>
      <c r="H20">
        <v>1228.24</v>
      </c>
      <c r="I20">
        <v>0</v>
      </c>
    </row>
    <row r="21" spans="1:9">
      <c r="A21" t="s">
        <v>561</v>
      </c>
      <c r="B21">
        <v>13421.955</v>
      </c>
      <c r="C21">
        <v>40.875500000000002</v>
      </c>
      <c r="D21">
        <v>47.519500000000001</v>
      </c>
      <c r="E21">
        <v>47.088099999999997</v>
      </c>
      <c r="F21">
        <v>214164.37</v>
      </c>
      <c r="G21">
        <v>45.01</v>
      </c>
      <c r="H21">
        <v>1213.03</v>
      </c>
      <c r="I21">
        <v>0</v>
      </c>
    </row>
    <row r="22" spans="1:9">
      <c r="A22" t="s">
        <v>562</v>
      </c>
      <c r="B22">
        <v>5179.5402999999997</v>
      </c>
      <c r="C22">
        <v>39.297199999999997</v>
      </c>
      <c r="D22">
        <v>45.789700000000003</v>
      </c>
      <c r="E22">
        <v>45.569400000000002</v>
      </c>
      <c r="F22">
        <v>106428.12</v>
      </c>
      <c r="G22">
        <v>32.630000000000003</v>
      </c>
      <c r="H22">
        <v>1215.8499999999999</v>
      </c>
      <c r="I22">
        <v>0</v>
      </c>
    </row>
    <row r="23" spans="1:9">
      <c r="A23" t="s">
        <v>563</v>
      </c>
      <c r="B23">
        <v>2616.3458000000001</v>
      </c>
      <c r="C23">
        <v>37.995100000000001</v>
      </c>
      <c r="D23">
        <v>44.369100000000003</v>
      </c>
      <c r="E23">
        <v>44.204300000000003</v>
      </c>
      <c r="F23">
        <v>59147.59</v>
      </c>
      <c r="G23">
        <v>29.22</v>
      </c>
      <c r="H23">
        <v>1181.44</v>
      </c>
      <c r="I23">
        <v>0</v>
      </c>
    </row>
    <row r="24" spans="1:9">
      <c r="A24" t="s">
        <v>564</v>
      </c>
      <c r="B24">
        <v>1378.9413</v>
      </c>
      <c r="C24">
        <v>36.436999999999998</v>
      </c>
      <c r="D24">
        <v>43.312899999999999</v>
      </c>
      <c r="E24">
        <v>43.126600000000003</v>
      </c>
      <c r="F24">
        <v>34018.36</v>
      </c>
      <c r="G24">
        <v>26.27</v>
      </c>
      <c r="H24">
        <v>1222.78</v>
      </c>
      <c r="I24">
        <v>0</v>
      </c>
    </row>
    <row r="25" spans="1:9">
      <c r="A25" t="s">
        <v>565</v>
      </c>
      <c r="B25">
        <v>54111.742100000003</v>
      </c>
      <c r="C25">
        <v>41.2483</v>
      </c>
      <c r="D25">
        <v>46.6175</v>
      </c>
      <c r="E25">
        <v>44.708500000000001</v>
      </c>
      <c r="F25">
        <v>305126.25</v>
      </c>
      <c r="G25">
        <v>56.67</v>
      </c>
      <c r="H25">
        <v>1221.44</v>
      </c>
      <c r="I25">
        <v>0</v>
      </c>
    </row>
    <row r="26" spans="1:9">
      <c r="A26" t="s">
        <v>566</v>
      </c>
      <c r="B26">
        <v>12025.0532</v>
      </c>
      <c r="C26">
        <v>37.868200000000002</v>
      </c>
      <c r="D26">
        <v>45.2836</v>
      </c>
      <c r="E26">
        <v>43.063699999999997</v>
      </c>
      <c r="F26">
        <v>124254.92</v>
      </c>
      <c r="G26">
        <v>34.86</v>
      </c>
      <c r="H26">
        <v>1215.27</v>
      </c>
      <c r="I26">
        <v>0</v>
      </c>
    </row>
    <row r="27" spans="1:9">
      <c r="A27" t="s">
        <v>567</v>
      </c>
      <c r="B27">
        <v>6494.2232000000004</v>
      </c>
      <c r="C27">
        <v>36.858199999999997</v>
      </c>
      <c r="D27">
        <v>44.123800000000003</v>
      </c>
      <c r="E27">
        <v>41.698900000000002</v>
      </c>
      <c r="F27">
        <v>68608.399999999994</v>
      </c>
      <c r="G27">
        <v>31.83</v>
      </c>
      <c r="H27">
        <v>1211.02</v>
      </c>
      <c r="I27">
        <v>0</v>
      </c>
    </row>
    <row r="28" spans="1:9">
      <c r="A28" t="s">
        <v>568</v>
      </c>
      <c r="B28">
        <v>3652.83</v>
      </c>
      <c r="C28">
        <v>35.456099999999999</v>
      </c>
      <c r="D28">
        <v>43.1892</v>
      </c>
      <c r="E28">
        <v>40.686399999999999</v>
      </c>
      <c r="F28">
        <v>42223.76</v>
      </c>
      <c r="G28">
        <v>28.04</v>
      </c>
      <c r="H28">
        <v>1213.82</v>
      </c>
      <c r="I28">
        <v>0</v>
      </c>
    </row>
    <row r="29" spans="1:9">
      <c r="A29" t="s">
        <v>569</v>
      </c>
      <c r="B29">
        <v>12382.6895</v>
      </c>
      <c r="C29">
        <v>47.273299999999999</v>
      </c>
      <c r="D29">
        <v>48.868200000000002</v>
      </c>
      <c r="E29">
        <v>47.551000000000002</v>
      </c>
      <c r="F29">
        <v>103297.83</v>
      </c>
      <c r="G29">
        <v>35.159999999999997</v>
      </c>
      <c r="H29">
        <v>1286.26</v>
      </c>
      <c r="I29">
        <v>0</v>
      </c>
    </row>
    <row r="30" spans="1:9">
      <c r="A30" t="s">
        <v>570</v>
      </c>
      <c r="B30">
        <v>6562.5</v>
      </c>
      <c r="C30">
        <v>45.228200000000001</v>
      </c>
      <c r="D30">
        <v>46.762999999999998</v>
      </c>
      <c r="E30">
        <v>45.512700000000002</v>
      </c>
      <c r="F30">
        <v>65104.73</v>
      </c>
      <c r="G30">
        <v>34.18</v>
      </c>
      <c r="H30">
        <v>1301.82</v>
      </c>
      <c r="I30">
        <v>0</v>
      </c>
    </row>
    <row r="31" spans="1:9">
      <c r="A31" t="s">
        <v>571</v>
      </c>
      <c r="B31">
        <v>3835.4479000000001</v>
      </c>
      <c r="C31">
        <v>43.023000000000003</v>
      </c>
      <c r="D31">
        <v>45.0184</v>
      </c>
      <c r="E31">
        <v>44.166899999999998</v>
      </c>
      <c r="F31">
        <v>42510.6</v>
      </c>
      <c r="G31">
        <v>28.82</v>
      </c>
      <c r="H31">
        <v>1299.22</v>
      </c>
      <c r="I31">
        <v>0</v>
      </c>
    </row>
    <row r="32" spans="1:9">
      <c r="A32" t="s">
        <v>572</v>
      </c>
      <c r="B32">
        <v>2270.8453</v>
      </c>
      <c r="C32">
        <v>40.511400000000002</v>
      </c>
      <c r="D32">
        <v>43.565300000000001</v>
      </c>
      <c r="E32">
        <v>43.133899999999997</v>
      </c>
      <c r="F32">
        <v>27484.51</v>
      </c>
      <c r="G32">
        <v>27.98</v>
      </c>
      <c r="H32">
        <v>1285.69</v>
      </c>
      <c r="I32">
        <v>0</v>
      </c>
    </row>
    <row r="33" spans="1:9">
      <c r="A33" t="s">
        <v>573</v>
      </c>
      <c r="B33">
        <v>2455.1008000000002</v>
      </c>
      <c r="C33">
        <v>43.011899999999997</v>
      </c>
      <c r="D33">
        <v>44.529299999999999</v>
      </c>
      <c r="E33">
        <v>46.008400000000002</v>
      </c>
      <c r="F33">
        <v>33286.04</v>
      </c>
      <c r="G33">
        <v>8.08</v>
      </c>
      <c r="H33">
        <v>431.2</v>
      </c>
      <c r="I33">
        <v>0</v>
      </c>
    </row>
    <row r="34" spans="1:9">
      <c r="A34" t="s">
        <v>574</v>
      </c>
      <c r="B34">
        <v>1347.3743999999999</v>
      </c>
      <c r="C34">
        <v>41.426099999999998</v>
      </c>
      <c r="D34">
        <v>42.903399999999998</v>
      </c>
      <c r="E34">
        <v>43.748699999999999</v>
      </c>
      <c r="F34">
        <v>21344.66</v>
      </c>
      <c r="G34">
        <v>6.9</v>
      </c>
      <c r="H34">
        <v>392.72</v>
      </c>
      <c r="I34">
        <v>0</v>
      </c>
    </row>
    <row r="35" spans="1:9">
      <c r="A35" t="s">
        <v>575</v>
      </c>
      <c r="B35">
        <v>771.41359999999997</v>
      </c>
      <c r="C35">
        <v>39.424599999999998</v>
      </c>
      <c r="D35">
        <v>41.642200000000003</v>
      </c>
      <c r="E35">
        <v>42.290700000000001</v>
      </c>
      <c r="F35">
        <v>14557.93</v>
      </c>
      <c r="G35">
        <v>6.31</v>
      </c>
      <c r="H35">
        <v>431.22</v>
      </c>
      <c r="I35">
        <v>0</v>
      </c>
    </row>
    <row r="36" spans="1:9">
      <c r="A36" t="s">
        <v>576</v>
      </c>
      <c r="B36">
        <v>438.55759999999998</v>
      </c>
      <c r="C36">
        <v>37.004199999999997</v>
      </c>
      <c r="D36">
        <v>40.696899999999999</v>
      </c>
      <c r="E36">
        <v>41.421199999999999</v>
      </c>
      <c r="F36">
        <v>9667.8700000000008</v>
      </c>
      <c r="G36">
        <v>6.11</v>
      </c>
      <c r="H36">
        <v>394.79</v>
      </c>
      <c r="I36">
        <v>0</v>
      </c>
    </row>
    <row r="37" spans="1:9">
      <c r="A37" t="s">
        <v>577</v>
      </c>
      <c r="B37">
        <v>6078.1127999999999</v>
      </c>
      <c r="C37">
        <v>42.221699999999998</v>
      </c>
      <c r="D37">
        <v>43.387599999999999</v>
      </c>
      <c r="E37">
        <v>43.9375</v>
      </c>
      <c r="F37">
        <v>56319.13</v>
      </c>
      <c r="G37">
        <v>11.32</v>
      </c>
      <c r="H37">
        <v>401.07</v>
      </c>
      <c r="I37">
        <v>0</v>
      </c>
    </row>
    <row r="38" spans="1:9">
      <c r="A38" t="s">
        <v>578</v>
      </c>
      <c r="B38">
        <v>3312.3224</v>
      </c>
      <c r="C38">
        <v>39.197000000000003</v>
      </c>
      <c r="D38">
        <v>41.145400000000002</v>
      </c>
      <c r="E38">
        <v>41.286499999999997</v>
      </c>
      <c r="F38">
        <v>39291.360000000001</v>
      </c>
      <c r="G38">
        <v>9.44</v>
      </c>
      <c r="H38">
        <v>409.96</v>
      </c>
      <c r="I38">
        <v>0</v>
      </c>
    </row>
    <row r="39" spans="1:9">
      <c r="A39" t="s">
        <v>579</v>
      </c>
      <c r="B39">
        <v>1740.08</v>
      </c>
      <c r="C39">
        <v>36.164499999999997</v>
      </c>
      <c r="D39">
        <v>39.443199999999997</v>
      </c>
      <c r="E39">
        <v>39.819600000000001</v>
      </c>
      <c r="F39">
        <v>27414.48</v>
      </c>
      <c r="G39">
        <v>7.68</v>
      </c>
      <c r="H39">
        <v>393.89</v>
      </c>
      <c r="I39">
        <v>0</v>
      </c>
    </row>
    <row r="40" spans="1:9">
      <c r="A40" t="s">
        <v>580</v>
      </c>
      <c r="B40">
        <v>868.33759999999995</v>
      </c>
      <c r="C40">
        <v>33.284999999999997</v>
      </c>
      <c r="D40">
        <v>38.260599999999997</v>
      </c>
      <c r="E40">
        <v>39.108199999999997</v>
      </c>
      <c r="F40">
        <v>16808.349999999999</v>
      </c>
      <c r="G40">
        <v>6.59</v>
      </c>
      <c r="H40">
        <v>415.89</v>
      </c>
      <c r="I40">
        <v>0</v>
      </c>
    </row>
    <row r="41" spans="1:9">
      <c r="A41" t="s">
        <v>581</v>
      </c>
      <c r="B41">
        <v>12725.5111</v>
      </c>
      <c r="C41">
        <v>41.19</v>
      </c>
      <c r="D41">
        <v>41.471899999999998</v>
      </c>
      <c r="E41">
        <v>44.317700000000002</v>
      </c>
      <c r="F41">
        <v>123607.01</v>
      </c>
      <c r="G41">
        <v>24.35</v>
      </c>
      <c r="H41">
        <v>423.51</v>
      </c>
      <c r="I41">
        <v>0</v>
      </c>
    </row>
    <row r="42" spans="1:9">
      <c r="A42" t="s">
        <v>582</v>
      </c>
      <c r="B42">
        <v>5552.2254000000003</v>
      </c>
      <c r="C42">
        <v>38.339199999999998</v>
      </c>
      <c r="D42">
        <v>39.615499999999997</v>
      </c>
      <c r="E42">
        <v>42.410800000000002</v>
      </c>
      <c r="F42">
        <v>73162.61</v>
      </c>
      <c r="G42">
        <v>17.809999999999999</v>
      </c>
      <c r="H42">
        <v>400.49</v>
      </c>
      <c r="I42">
        <v>0</v>
      </c>
    </row>
    <row r="43" spans="1:9">
      <c r="A43" t="s">
        <v>583</v>
      </c>
      <c r="B43">
        <v>3007.1968000000002</v>
      </c>
      <c r="C43">
        <v>36.218400000000003</v>
      </c>
      <c r="D43">
        <v>38.6785</v>
      </c>
      <c r="E43">
        <v>40.824800000000003</v>
      </c>
      <c r="F43">
        <v>48242.18</v>
      </c>
      <c r="G43">
        <v>15.55</v>
      </c>
      <c r="H43">
        <v>408.57</v>
      </c>
      <c r="I43">
        <v>0</v>
      </c>
    </row>
    <row r="44" spans="1:9">
      <c r="A44" t="s">
        <v>584</v>
      </c>
      <c r="B44">
        <v>1642.5992000000001</v>
      </c>
      <c r="C44">
        <v>33.890700000000002</v>
      </c>
      <c r="D44">
        <v>37.937199999999997</v>
      </c>
      <c r="E44">
        <v>39.656599999999997</v>
      </c>
      <c r="F44">
        <v>30634.18</v>
      </c>
      <c r="G44">
        <v>13.7</v>
      </c>
      <c r="H44">
        <v>393.67</v>
      </c>
      <c r="I44">
        <v>0</v>
      </c>
    </row>
    <row r="45" spans="1:9">
      <c r="A45" t="s">
        <v>585</v>
      </c>
      <c r="B45">
        <v>8203.9087</v>
      </c>
      <c r="C45">
        <v>41.550400000000003</v>
      </c>
      <c r="D45">
        <v>44.714500000000001</v>
      </c>
      <c r="E45">
        <v>46.597999999999999</v>
      </c>
      <c r="F45">
        <v>103318.52</v>
      </c>
      <c r="G45">
        <v>20.18</v>
      </c>
      <c r="H45">
        <v>400.6</v>
      </c>
      <c r="I45">
        <v>0</v>
      </c>
    </row>
    <row r="46" spans="1:9">
      <c r="A46" t="s">
        <v>586</v>
      </c>
      <c r="B46">
        <v>3306.5246000000002</v>
      </c>
      <c r="C46">
        <v>39.099899999999998</v>
      </c>
      <c r="D46">
        <v>43.4923</v>
      </c>
      <c r="E46">
        <v>44.695999999999998</v>
      </c>
      <c r="F46">
        <v>58827.54</v>
      </c>
      <c r="G46">
        <v>15.92</v>
      </c>
      <c r="H46">
        <v>392.72</v>
      </c>
      <c r="I46">
        <v>0</v>
      </c>
    </row>
    <row r="47" spans="1:9">
      <c r="A47" t="s">
        <v>587</v>
      </c>
      <c r="B47">
        <v>1707.3905</v>
      </c>
      <c r="C47">
        <v>37.440300000000001</v>
      </c>
      <c r="D47">
        <v>42.289299999999997</v>
      </c>
      <c r="E47">
        <v>42.921500000000002</v>
      </c>
      <c r="F47">
        <v>32937.019999999997</v>
      </c>
      <c r="G47">
        <v>13.62</v>
      </c>
      <c r="H47">
        <v>401.54</v>
      </c>
      <c r="I47">
        <v>0</v>
      </c>
    </row>
    <row r="48" spans="1:9">
      <c r="A48" t="s">
        <v>588</v>
      </c>
      <c r="B48">
        <v>961.10239999999999</v>
      </c>
      <c r="C48">
        <v>35.627200000000002</v>
      </c>
      <c r="D48">
        <v>41.308100000000003</v>
      </c>
      <c r="E48">
        <v>41.515799999999999</v>
      </c>
      <c r="F48">
        <v>20117.98</v>
      </c>
      <c r="G48">
        <v>12.17</v>
      </c>
      <c r="H48">
        <v>393.64</v>
      </c>
      <c r="I48">
        <v>0</v>
      </c>
    </row>
    <row r="49" spans="1:9">
      <c r="A49" t="s">
        <v>589</v>
      </c>
      <c r="B49">
        <v>21107.18</v>
      </c>
      <c r="C49">
        <v>42.689300000000003</v>
      </c>
      <c r="D49">
        <v>42.763300000000001</v>
      </c>
      <c r="E49">
        <v>44.751399999999997</v>
      </c>
      <c r="F49">
        <v>140144.60999999999</v>
      </c>
      <c r="G49">
        <v>28.39</v>
      </c>
      <c r="H49">
        <v>403.24</v>
      </c>
      <c r="I49">
        <v>0</v>
      </c>
    </row>
    <row r="50" spans="1:9">
      <c r="A50" t="s">
        <v>590</v>
      </c>
      <c r="B50">
        <v>9193.4375999999993</v>
      </c>
      <c r="C50">
        <v>37.499400000000001</v>
      </c>
      <c r="D50">
        <v>41.1053</v>
      </c>
      <c r="E50">
        <v>43.503900000000002</v>
      </c>
      <c r="F50">
        <v>103649.57</v>
      </c>
      <c r="G50">
        <v>23.93</v>
      </c>
      <c r="H50">
        <v>390.96</v>
      </c>
      <c r="I50">
        <v>0</v>
      </c>
    </row>
    <row r="51" spans="1:9">
      <c r="A51" t="s">
        <v>591</v>
      </c>
      <c r="B51">
        <v>4529.8464000000004</v>
      </c>
      <c r="C51">
        <v>34.997900000000001</v>
      </c>
      <c r="D51">
        <v>39.802700000000002</v>
      </c>
      <c r="E51">
        <v>42.4923</v>
      </c>
      <c r="F51">
        <v>65414.36</v>
      </c>
      <c r="G51">
        <v>18.88</v>
      </c>
      <c r="H51">
        <v>401.15</v>
      </c>
      <c r="I51">
        <v>0</v>
      </c>
    </row>
    <row r="52" spans="1:9">
      <c r="A52" t="s">
        <v>592</v>
      </c>
      <c r="B52">
        <v>2421.2952</v>
      </c>
      <c r="C52">
        <v>32.7196</v>
      </c>
      <c r="D52">
        <v>38.8857</v>
      </c>
      <c r="E52">
        <v>41.757899999999999</v>
      </c>
      <c r="F52">
        <v>41325.82</v>
      </c>
      <c r="G52">
        <v>16.7</v>
      </c>
      <c r="H52">
        <v>392.55</v>
      </c>
      <c r="I52">
        <v>0</v>
      </c>
    </row>
    <row r="53" spans="1:9">
      <c r="A53" t="s">
        <v>593</v>
      </c>
      <c r="B53">
        <v>2228.6667000000002</v>
      </c>
      <c r="C53">
        <v>42.560899999999997</v>
      </c>
      <c r="D53">
        <v>44.205100000000002</v>
      </c>
      <c r="E53">
        <v>45.025700000000001</v>
      </c>
      <c r="F53">
        <v>22630.41</v>
      </c>
      <c r="G53">
        <v>7.42</v>
      </c>
      <c r="H53">
        <v>164.63</v>
      </c>
      <c r="I53">
        <v>0</v>
      </c>
    </row>
    <row r="54" spans="1:9">
      <c r="A54" t="s">
        <v>594</v>
      </c>
      <c r="B54">
        <v>1203.0008</v>
      </c>
      <c r="C54">
        <v>39.2515</v>
      </c>
      <c r="D54">
        <v>41.855699999999999</v>
      </c>
      <c r="E54">
        <v>42.402500000000003</v>
      </c>
      <c r="F54">
        <v>17178.53</v>
      </c>
      <c r="G54">
        <v>6.31</v>
      </c>
      <c r="H54">
        <v>189.72</v>
      </c>
      <c r="I54">
        <v>0</v>
      </c>
    </row>
    <row r="55" spans="1:9">
      <c r="A55" t="s">
        <v>595</v>
      </c>
      <c r="B55">
        <v>648.28570000000002</v>
      </c>
      <c r="C55">
        <v>36.277299999999997</v>
      </c>
      <c r="D55">
        <v>40.005800000000001</v>
      </c>
      <c r="E55">
        <v>40.354599999999998</v>
      </c>
      <c r="F55">
        <v>12100.19</v>
      </c>
      <c r="G55">
        <v>5.23</v>
      </c>
      <c r="H55">
        <v>184.38</v>
      </c>
      <c r="I55">
        <v>0</v>
      </c>
    </row>
    <row r="56" spans="1:9">
      <c r="A56" t="s">
        <v>596</v>
      </c>
      <c r="B56">
        <v>366.24919999999997</v>
      </c>
      <c r="C56">
        <v>33.661499999999997</v>
      </c>
      <c r="D56">
        <v>38.533499999999997</v>
      </c>
      <c r="E56">
        <v>38.709899999999998</v>
      </c>
      <c r="F56">
        <v>7655.81</v>
      </c>
      <c r="G56">
        <v>4.9400000000000004</v>
      </c>
      <c r="H56">
        <v>183.99</v>
      </c>
      <c r="I56">
        <v>0</v>
      </c>
    </row>
    <row r="57" spans="1:9">
      <c r="A57" t="s">
        <v>597</v>
      </c>
      <c r="B57">
        <v>2669.9247999999998</v>
      </c>
      <c r="C57">
        <v>42.436199999999999</v>
      </c>
      <c r="D57">
        <v>44.455300000000001</v>
      </c>
      <c r="E57">
        <v>46.186599999999999</v>
      </c>
      <c r="F57">
        <v>30942.81</v>
      </c>
      <c r="G57">
        <v>8.5500000000000007</v>
      </c>
      <c r="H57">
        <v>190.93</v>
      </c>
      <c r="I57">
        <v>0</v>
      </c>
    </row>
    <row r="58" spans="1:9">
      <c r="A58" t="s">
        <v>598</v>
      </c>
      <c r="B58">
        <v>1605.5744</v>
      </c>
      <c r="C58">
        <v>39.704999999999998</v>
      </c>
      <c r="D58">
        <v>42.390900000000002</v>
      </c>
      <c r="E58">
        <v>43.839100000000002</v>
      </c>
      <c r="F58">
        <v>23261.14</v>
      </c>
      <c r="G58">
        <v>6.87</v>
      </c>
      <c r="H58">
        <v>184.77</v>
      </c>
      <c r="I58">
        <v>0</v>
      </c>
    </row>
    <row r="59" spans="1:9">
      <c r="A59" t="s">
        <v>599</v>
      </c>
      <c r="B59">
        <v>952.70159999999998</v>
      </c>
      <c r="C59">
        <v>36.732100000000003</v>
      </c>
      <c r="D59">
        <v>40.656599999999997</v>
      </c>
      <c r="E59">
        <v>41.888300000000001</v>
      </c>
      <c r="F59">
        <v>17069.57</v>
      </c>
      <c r="G59">
        <v>6.2</v>
      </c>
      <c r="H59">
        <v>162.04</v>
      </c>
      <c r="I59">
        <v>0</v>
      </c>
    </row>
    <row r="60" spans="1:9">
      <c r="A60" t="s">
        <v>600</v>
      </c>
      <c r="B60">
        <v>551.13520000000005</v>
      </c>
      <c r="C60">
        <v>33.679900000000004</v>
      </c>
      <c r="D60">
        <v>39.3645</v>
      </c>
      <c r="E60">
        <v>40.386600000000001</v>
      </c>
      <c r="F60">
        <v>11548.13</v>
      </c>
      <c r="G60">
        <v>5.83</v>
      </c>
      <c r="H60">
        <v>162.91</v>
      </c>
      <c r="I60">
        <v>0</v>
      </c>
    </row>
    <row r="61" spans="1:9">
      <c r="A61" t="s">
        <v>601</v>
      </c>
      <c r="B61">
        <v>5192.4921000000004</v>
      </c>
      <c r="C61">
        <v>41.771700000000003</v>
      </c>
      <c r="D61">
        <v>42.801699999999997</v>
      </c>
      <c r="E61">
        <v>43.94</v>
      </c>
      <c r="F61">
        <v>36094.92</v>
      </c>
      <c r="G61">
        <v>9.17</v>
      </c>
      <c r="H61">
        <v>179.3</v>
      </c>
      <c r="I61">
        <v>0</v>
      </c>
    </row>
    <row r="62" spans="1:9">
      <c r="A62" t="s">
        <v>602</v>
      </c>
      <c r="B62">
        <v>3225.6365000000001</v>
      </c>
      <c r="C62">
        <v>37.541200000000003</v>
      </c>
      <c r="D62">
        <v>39.962299999999999</v>
      </c>
      <c r="E62">
        <v>40.885100000000001</v>
      </c>
      <c r="F62">
        <v>29769.51</v>
      </c>
      <c r="G62">
        <v>7.61</v>
      </c>
      <c r="H62">
        <v>185.62</v>
      </c>
      <c r="I62">
        <v>0</v>
      </c>
    </row>
    <row r="63" spans="1:9">
      <c r="A63" t="s">
        <v>603</v>
      </c>
      <c r="B63">
        <v>1934.069</v>
      </c>
      <c r="C63">
        <v>33.7667</v>
      </c>
      <c r="D63">
        <v>37.917700000000004</v>
      </c>
      <c r="E63">
        <v>38.643700000000003</v>
      </c>
      <c r="F63">
        <v>23653.84</v>
      </c>
      <c r="G63">
        <v>6.58</v>
      </c>
      <c r="H63">
        <v>184.09</v>
      </c>
      <c r="I63">
        <v>0</v>
      </c>
    </row>
    <row r="64" spans="1:9">
      <c r="A64" t="s">
        <v>604</v>
      </c>
      <c r="B64">
        <v>1061.6253999999999</v>
      </c>
      <c r="C64">
        <v>30.090299999999999</v>
      </c>
      <c r="D64">
        <v>36.483699999999999</v>
      </c>
      <c r="E64">
        <v>37.107500000000002</v>
      </c>
      <c r="F64">
        <v>17391.509999999998</v>
      </c>
      <c r="G64">
        <v>5.59</v>
      </c>
      <c r="H64">
        <v>187.2</v>
      </c>
      <c r="I64">
        <v>0</v>
      </c>
    </row>
    <row r="65" spans="1:9">
      <c r="A65" t="s">
        <v>605</v>
      </c>
      <c r="B65">
        <v>1756.1541999999999</v>
      </c>
      <c r="C65">
        <v>42.92</v>
      </c>
      <c r="D65">
        <v>43.459499999999998</v>
      </c>
      <c r="E65">
        <v>44.398899999999998</v>
      </c>
      <c r="F65">
        <v>17177.169999999998</v>
      </c>
      <c r="G65">
        <v>4.2</v>
      </c>
      <c r="H65">
        <v>168.77</v>
      </c>
      <c r="I65">
        <v>0</v>
      </c>
    </row>
    <row r="66" spans="1:9">
      <c r="A66" t="s">
        <v>606</v>
      </c>
      <c r="B66">
        <v>1055.5736999999999</v>
      </c>
      <c r="C66">
        <v>39.586199999999998</v>
      </c>
      <c r="D66">
        <v>40.344099999999997</v>
      </c>
      <c r="E66">
        <v>41.980699999999999</v>
      </c>
      <c r="F66">
        <v>12629.31</v>
      </c>
      <c r="G66">
        <v>3.68</v>
      </c>
      <c r="H66">
        <v>183.03</v>
      </c>
      <c r="I66">
        <v>0</v>
      </c>
    </row>
    <row r="67" spans="1:9">
      <c r="A67" t="s">
        <v>607</v>
      </c>
      <c r="B67">
        <v>609.22339999999997</v>
      </c>
      <c r="C67">
        <v>36.231400000000001</v>
      </c>
      <c r="D67">
        <v>38.193899999999999</v>
      </c>
      <c r="E67">
        <v>40.259399999999999</v>
      </c>
      <c r="F67">
        <v>9712.75</v>
      </c>
      <c r="G67">
        <v>3.35</v>
      </c>
      <c r="H67">
        <v>176.3</v>
      </c>
      <c r="I67">
        <v>0</v>
      </c>
    </row>
    <row r="68" spans="1:9">
      <c r="A68" t="s">
        <v>608</v>
      </c>
      <c r="B68">
        <v>314.27999999999997</v>
      </c>
      <c r="C68">
        <v>32.823</v>
      </c>
      <c r="D68">
        <v>36.9255</v>
      </c>
      <c r="E68">
        <v>38.986199999999997</v>
      </c>
      <c r="F68">
        <v>6388.04</v>
      </c>
      <c r="G68">
        <v>2.98</v>
      </c>
      <c r="H68">
        <v>178.15</v>
      </c>
      <c r="I68">
        <v>0</v>
      </c>
    </row>
    <row r="69" spans="1:9">
      <c r="A69" t="s">
        <v>609</v>
      </c>
      <c r="B69">
        <v>610.33100000000002</v>
      </c>
      <c r="C69">
        <v>43.741</v>
      </c>
      <c r="D69">
        <v>45.805999999999997</v>
      </c>
      <c r="E69">
        <v>45.527500000000003</v>
      </c>
      <c r="F69">
        <v>6447.26</v>
      </c>
      <c r="G69">
        <v>2.88</v>
      </c>
      <c r="H69">
        <v>128.88</v>
      </c>
      <c r="I69">
        <v>0</v>
      </c>
    </row>
    <row r="70" spans="1:9">
      <c r="A70" t="s">
        <v>610</v>
      </c>
      <c r="B70">
        <v>369.32619999999997</v>
      </c>
      <c r="C70">
        <v>40.210099999999997</v>
      </c>
      <c r="D70">
        <v>43.045099999999998</v>
      </c>
      <c r="E70">
        <v>42.459400000000002</v>
      </c>
      <c r="F70">
        <v>4957.3100000000004</v>
      </c>
      <c r="G70">
        <v>2.64</v>
      </c>
      <c r="H70">
        <v>135.30000000000001</v>
      </c>
      <c r="I70">
        <v>0</v>
      </c>
    </row>
    <row r="71" spans="1:9">
      <c r="A71" t="s">
        <v>611</v>
      </c>
      <c r="B71">
        <v>216.37860000000001</v>
      </c>
      <c r="C71">
        <v>36.796799999999998</v>
      </c>
      <c r="D71">
        <v>40.759300000000003</v>
      </c>
      <c r="E71">
        <v>39.939</v>
      </c>
      <c r="F71">
        <v>3413.57</v>
      </c>
      <c r="G71">
        <v>2.37</v>
      </c>
      <c r="H71">
        <v>125.02</v>
      </c>
      <c r="I71">
        <v>0</v>
      </c>
    </row>
    <row r="72" spans="1:9">
      <c r="A72" t="s">
        <v>612</v>
      </c>
      <c r="B72">
        <v>124.1921</v>
      </c>
      <c r="C72">
        <v>33.575600000000001</v>
      </c>
      <c r="D72">
        <v>39.055500000000002</v>
      </c>
      <c r="E72">
        <v>38.064900000000002</v>
      </c>
      <c r="F72">
        <v>2305.1999999999998</v>
      </c>
      <c r="G72">
        <v>2.2599999999999998</v>
      </c>
      <c r="H72">
        <v>115.24</v>
      </c>
      <c r="I72">
        <v>0</v>
      </c>
    </row>
    <row r="73" spans="1:9">
      <c r="A73" t="s">
        <v>613</v>
      </c>
      <c r="B73">
        <v>1570.9280000000001</v>
      </c>
      <c r="C73">
        <v>42.031199999999998</v>
      </c>
      <c r="D73">
        <v>43.5931</v>
      </c>
      <c r="E73">
        <v>44.797600000000003</v>
      </c>
      <c r="F73">
        <v>10380.23</v>
      </c>
      <c r="G73">
        <v>3.92</v>
      </c>
      <c r="H73">
        <v>133.11000000000001</v>
      </c>
      <c r="I73">
        <v>0</v>
      </c>
    </row>
    <row r="74" spans="1:9">
      <c r="A74" t="s">
        <v>614</v>
      </c>
      <c r="B74">
        <v>1002.7144</v>
      </c>
      <c r="C74">
        <v>37.612499999999997</v>
      </c>
      <c r="D74">
        <v>40.963099999999997</v>
      </c>
      <c r="E74">
        <v>42.2791</v>
      </c>
      <c r="F74">
        <v>8471.14</v>
      </c>
      <c r="G74">
        <v>3.55</v>
      </c>
      <c r="H74">
        <v>138.18</v>
      </c>
      <c r="I74">
        <v>0</v>
      </c>
    </row>
    <row r="75" spans="1:9">
      <c r="A75" t="s">
        <v>615</v>
      </c>
      <c r="B75">
        <v>618.3288</v>
      </c>
      <c r="C75">
        <v>33.797600000000003</v>
      </c>
      <c r="D75">
        <v>39.4041</v>
      </c>
      <c r="E75">
        <v>40.563000000000002</v>
      </c>
      <c r="F75">
        <v>6340.76</v>
      </c>
      <c r="G75">
        <v>3.13</v>
      </c>
      <c r="H75">
        <v>114.29</v>
      </c>
      <c r="I75">
        <v>0</v>
      </c>
    </row>
    <row r="76" spans="1:9">
      <c r="A76" t="s">
        <v>616</v>
      </c>
      <c r="B76">
        <v>372.83120000000002</v>
      </c>
      <c r="C76">
        <v>30.3369</v>
      </c>
      <c r="D76">
        <v>38.4741</v>
      </c>
      <c r="E76">
        <v>39.368499999999997</v>
      </c>
      <c r="F76">
        <v>4816.87</v>
      </c>
      <c r="G76">
        <v>2.99</v>
      </c>
      <c r="H76">
        <v>115.89</v>
      </c>
      <c r="I76">
        <v>0</v>
      </c>
    </row>
    <row r="77" spans="1:9">
      <c r="A77" t="s">
        <v>617</v>
      </c>
      <c r="B77">
        <v>1355.1341</v>
      </c>
      <c r="C77">
        <v>41.739899999999999</v>
      </c>
      <c r="D77">
        <v>42.395000000000003</v>
      </c>
      <c r="E77">
        <v>43.2943</v>
      </c>
      <c r="F77">
        <v>9461.57</v>
      </c>
      <c r="G77">
        <v>3.57</v>
      </c>
      <c r="H77">
        <v>133.30000000000001</v>
      </c>
      <c r="I77">
        <v>0</v>
      </c>
    </row>
    <row r="78" spans="1:9">
      <c r="A78" t="s">
        <v>618</v>
      </c>
      <c r="B78">
        <v>840.20709999999997</v>
      </c>
      <c r="C78">
        <v>37.470300000000002</v>
      </c>
      <c r="D78">
        <v>39.555399999999999</v>
      </c>
      <c r="E78">
        <v>40.179499999999997</v>
      </c>
      <c r="F78">
        <v>8012.42</v>
      </c>
      <c r="G78">
        <v>3.13</v>
      </c>
      <c r="H78">
        <v>112.83</v>
      </c>
      <c r="I78">
        <v>0</v>
      </c>
    </row>
    <row r="79" spans="1:9">
      <c r="A79" t="s">
        <v>619</v>
      </c>
      <c r="B79">
        <v>485.04289999999997</v>
      </c>
      <c r="C79">
        <v>33.512099999999997</v>
      </c>
      <c r="D79">
        <v>37.380099999999999</v>
      </c>
      <c r="E79">
        <v>37.857500000000002</v>
      </c>
      <c r="F79">
        <v>6300.72</v>
      </c>
      <c r="G79">
        <v>2.81</v>
      </c>
      <c r="H79">
        <v>139.16999999999999</v>
      </c>
      <c r="I79">
        <v>0</v>
      </c>
    </row>
    <row r="80" spans="1:9">
      <c r="A80" t="s">
        <v>620</v>
      </c>
      <c r="B80">
        <v>254.01429999999999</v>
      </c>
      <c r="C80">
        <v>29.889700000000001</v>
      </c>
      <c r="D80">
        <v>35.8628</v>
      </c>
      <c r="E80">
        <v>36.2864</v>
      </c>
      <c r="F80">
        <v>4435.79</v>
      </c>
      <c r="G80">
        <v>2.5099999999999998</v>
      </c>
      <c r="H80">
        <v>113.79</v>
      </c>
      <c r="I80">
        <v>0</v>
      </c>
    </row>
    <row r="81" spans="1:9">
      <c r="A81" t="s">
        <v>621</v>
      </c>
      <c r="B81">
        <v>519.07029999999997</v>
      </c>
      <c r="C81">
        <v>43.344799999999999</v>
      </c>
      <c r="D81">
        <v>43.169600000000003</v>
      </c>
      <c r="E81">
        <v>44.226199999999999</v>
      </c>
      <c r="F81">
        <v>4505.6400000000003</v>
      </c>
      <c r="G81">
        <v>1.85</v>
      </c>
      <c r="H81">
        <v>133.11000000000001</v>
      </c>
      <c r="I81">
        <v>0</v>
      </c>
    </row>
    <row r="82" spans="1:9">
      <c r="A82" t="s">
        <v>622</v>
      </c>
      <c r="B82">
        <v>316.76209999999998</v>
      </c>
      <c r="C82">
        <v>39.340000000000003</v>
      </c>
      <c r="D82">
        <v>40.1051</v>
      </c>
      <c r="E82">
        <v>41.537799999999997</v>
      </c>
      <c r="F82">
        <v>3667.91</v>
      </c>
      <c r="G82">
        <v>1.73</v>
      </c>
      <c r="H82">
        <v>136.86000000000001</v>
      </c>
      <c r="I82">
        <v>0</v>
      </c>
    </row>
    <row r="83" spans="1:9">
      <c r="A83" t="s">
        <v>623</v>
      </c>
      <c r="B83">
        <v>178.28210000000001</v>
      </c>
      <c r="C83">
        <v>35.436999999999998</v>
      </c>
      <c r="D83">
        <v>38.096499999999999</v>
      </c>
      <c r="E83">
        <v>39.391199999999998</v>
      </c>
      <c r="F83">
        <v>2874.66</v>
      </c>
      <c r="G83">
        <v>1.57</v>
      </c>
      <c r="H83">
        <v>136.41999999999999</v>
      </c>
      <c r="I83">
        <v>0</v>
      </c>
    </row>
    <row r="84" spans="1:9">
      <c r="A84" t="s">
        <v>624</v>
      </c>
      <c r="B84">
        <v>92.16</v>
      </c>
      <c r="C84">
        <v>31.995999999999999</v>
      </c>
      <c r="D84">
        <v>36.5685</v>
      </c>
      <c r="E84">
        <v>37.632800000000003</v>
      </c>
      <c r="F84">
        <v>1761.18</v>
      </c>
      <c r="G84">
        <v>1.54</v>
      </c>
      <c r="H84">
        <v>112.39</v>
      </c>
      <c r="I84">
        <v>0</v>
      </c>
    </row>
    <row r="85" spans="1:9">
      <c r="A85" t="s">
        <v>625</v>
      </c>
      <c r="B85">
        <v>3364.7008000000001</v>
      </c>
      <c r="C85">
        <v>44.440800000000003</v>
      </c>
      <c r="D85">
        <v>47.408700000000003</v>
      </c>
      <c r="E85">
        <v>48.673699999999997</v>
      </c>
      <c r="F85">
        <v>48107.86</v>
      </c>
      <c r="G85">
        <v>14.1</v>
      </c>
      <c r="H85">
        <v>239.83</v>
      </c>
      <c r="I85">
        <v>0</v>
      </c>
    </row>
    <row r="86" spans="1:9">
      <c r="A86" t="s">
        <v>626</v>
      </c>
      <c r="B86">
        <v>2076.2759999999998</v>
      </c>
      <c r="C86">
        <v>42.075499999999998</v>
      </c>
      <c r="D86">
        <v>45.387900000000002</v>
      </c>
      <c r="E86">
        <v>46.708199999999998</v>
      </c>
      <c r="F86">
        <v>35022.51</v>
      </c>
      <c r="G86">
        <v>11.5</v>
      </c>
      <c r="H86">
        <v>263.12</v>
      </c>
      <c r="I86">
        <v>0</v>
      </c>
    </row>
    <row r="87" spans="1:9">
      <c r="A87" t="s">
        <v>627</v>
      </c>
      <c r="B87">
        <v>1293.6184000000001</v>
      </c>
      <c r="C87">
        <v>39.306199999999997</v>
      </c>
      <c r="D87">
        <v>43.646900000000002</v>
      </c>
      <c r="E87">
        <v>44.903599999999997</v>
      </c>
      <c r="F87">
        <v>25620.36</v>
      </c>
      <c r="G87">
        <v>11.07</v>
      </c>
      <c r="H87">
        <v>267.04000000000002</v>
      </c>
      <c r="I87">
        <v>0</v>
      </c>
    </row>
    <row r="88" spans="1:9">
      <c r="A88" t="s">
        <v>628</v>
      </c>
      <c r="B88">
        <v>799.00959999999998</v>
      </c>
      <c r="C88">
        <v>36.231299999999997</v>
      </c>
      <c r="D88">
        <v>42.368600000000001</v>
      </c>
      <c r="E88">
        <v>43.558999999999997</v>
      </c>
      <c r="F88">
        <v>17601.91</v>
      </c>
      <c r="G88">
        <v>9.83</v>
      </c>
      <c r="H88">
        <v>268.7</v>
      </c>
      <c r="I88">
        <v>0</v>
      </c>
    </row>
    <row r="89" spans="1:9">
      <c r="A89" t="s">
        <v>629</v>
      </c>
      <c r="B89">
        <v>2259.0064000000002</v>
      </c>
      <c r="C89">
        <v>44.521799999999999</v>
      </c>
      <c r="D89">
        <v>48.643599999999999</v>
      </c>
      <c r="E89">
        <v>49.3827</v>
      </c>
      <c r="F89">
        <v>33147.300000000003</v>
      </c>
      <c r="G89">
        <v>10.94</v>
      </c>
      <c r="H89">
        <v>234.94</v>
      </c>
      <c r="I89">
        <v>0</v>
      </c>
    </row>
    <row r="90" spans="1:9">
      <c r="A90" t="s">
        <v>630</v>
      </c>
      <c r="B90">
        <v>1258.752</v>
      </c>
      <c r="C90">
        <v>42.480400000000003</v>
      </c>
      <c r="D90">
        <v>46.946899999999999</v>
      </c>
      <c r="E90">
        <v>47.7393</v>
      </c>
      <c r="F90">
        <v>22684.58</v>
      </c>
      <c r="G90">
        <v>9.91</v>
      </c>
      <c r="H90">
        <v>265.18</v>
      </c>
      <c r="I90">
        <v>0</v>
      </c>
    </row>
    <row r="91" spans="1:9">
      <c r="A91" t="s">
        <v>631</v>
      </c>
      <c r="B91">
        <v>724.05520000000001</v>
      </c>
      <c r="C91">
        <v>40.249499999999998</v>
      </c>
      <c r="D91">
        <v>45.317100000000003</v>
      </c>
      <c r="E91">
        <v>46.096299999999999</v>
      </c>
      <c r="F91">
        <v>15226.01</v>
      </c>
      <c r="G91">
        <v>9.06</v>
      </c>
      <c r="H91">
        <v>265.16000000000003</v>
      </c>
      <c r="I91">
        <v>0</v>
      </c>
    </row>
    <row r="92" spans="1:9">
      <c r="A92" t="s">
        <v>632</v>
      </c>
      <c r="B92">
        <v>426.30560000000003</v>
      </c>
      <c r="C92">
        <v>37.767600000000002</v>
      </c>
      <c r="D92">
        <v>43.9377</v>
      </c>
      <c r="E92">
        <v>44.759</v>
      </c>
      <c r="F92">
        <v>9678.4</v>
      </c>
      <c r="G92">
        <v>8.39</v>
      </c>
      <c r="H92">
        <v>254.87</v>
      </c>
      <c r="I92">
        <v>0</v>
      </c>
    </row>
    <row r="93" spans="1:9">
      <c r="A93" t="s">
        <v>633</v>
      </c>
      <c r="B93">
        <v>2463.8312000000001</v>
      </c>
      <c r="C93">
        <v>44.9604</v>
      </c>
      <c r="D93">
        <v>48.056199999999997</v>
      </c>
      <c r="E93">
        <v>48.973799999999997</v>
      </c>
      <c r="F93">
        <v>36758.26</v>
      </c>
      <c r="G93">
        <v>12.04</v>
      </c>
      <c r="H93">
        <v>268.88</v>
      </c>
      <c r="I93">
        <v>0</v>
      </c>
    </row>
    <row r="94" spans="1:9">
      <c r="A94" t="s">
        <v>634</v>
      </c>
      <c r="B94">
        <v>1481.7464</v>
      </c>
      <c r="C94">
        <v>42.836199999999998</v>
      </c>
      <c r="D94">
        <v>46.1511</v>
      </c>
      <c r="E94">
        <v>47.201900000000002</v>
      </c>
      <c r="F94">
        <v>25757.65</v>
      </c>
      <c r="G94">
        <v>10.76</v>
      </c>
      <c r="H94">
        <v>258.83999999999997</v>
      </c>
      <c r="I94">
        <v>0</v>
      </c>
    </row>
    <row r="95" spans="1:9">
      <c r="A95" t="s">
        <v>635</v>
      </c>
      <c r="B95">
        <v>903.0136</v>
      </c>
      <c r="C95">
        <v>40.334200000000003</v>
      </c>
      <c r="D95">
        <v>44.433599999999998</v>
      </c>
      <c r="E95">
        <v>45.544199999999996</v>
      </c>
      <c r="F95">
        <v>18168.3</v>
      </c>
      <c r="G95">
        <v>9.6300000000000008</v>
      </c>
      <c r="H95">
        <v>268.22000000000003</v>
      </c>
      <c r="I95">
        <v>0</v>
      </c>
    </row>
    <row r="96" spans="1:9">
      <c r="A96" t="s">
        <v>636</v>
      </c>
      <c r="B96">
        <v>557.51199999999994</v>
      </c>
      <c r="C96">
        <v>37.5565</v>
      </c>
      <c r="D96">
        <v>43.178699999999999</v>
      </c>
      <c r="E96">
        <v>44.322699999999998</v>
      </c>
      <c r="F96">
        <v>12406.99</v>
      </c>
      <c r="G96">
        <v>8.83</v>
      </c>
      <c r="H96">
        <v>234.59</v>
      </c>
      <c r="I96">
        <v>0</v>
      </c>
    </row>
    <row r="97" spans="1:9">
      <c r="A97" t="s">
        <v>637</v>
      </c>
      <c r="B97">
        <v>2432.069</v>
      </c>
      <c r="C97">
        <v>42.777799999999999</v>
      </c>
      <c r="D97">
        <v>44.211599999999997</v>
      </c>
      <c r="E97">
        <v>44.962200000000003</v>
      </c>
      <c r="F97">
        <v>22532.26</v>
      </c>
      <c r="G97">
        <v>7.52</v>
      </c>
      <c r="H97">
        <v>183.7</v>
      </c>
      <c r="I97">
        <v>0</v>
      </c>
    </row>
    <row r="98" spans="1:9">
      <c r="A98" t="s">
        <v>638</v>
      </c>
      <c r="B98">
        <v>1392.7492</v>
      </c>
      <c r="C98">
        <v>39.386200000000002</v>
      </c>
      <c r="D98">
        <v>41.603000000000002</v>
      </c>
      <c r="E98">
        <v>42.118400000000001</v>
      </c>
      <c r="F98">
        <v>18001.13</v>
      </c>
      <c r="G98">
        <v>6.26</v>
      </c>
      <c r="H98">
        <v>186.62</v>
      </c>
      <c r="I98">
        <v>0</v>
      </c>
    </row>
    <row r="99" spans="1:9">
      <c r="A99" t="s">
        <v>639</v>
      </c>
      <c r="B99">
        <v>805.4778</v>
      </c>
      <c r="C99">
        <v>36.319000000000003</v>
      </c>
      <c r="D99">
        <v>39.466200000000001</v>
      </c>
      <c r="E99">
        <v>39.811100000000003</v>
      </c>
      <c r="F99">
        <v>12672.68</v>
      </c>
      <c r="G99">
        <v>5.43</v>
      </c>
      <c r="H99">
        <v>165.3</v>
      </c>
      <c r="I99">
        <v>0</v>
      </c>
    </row>
    <row r="100" spans="1:9">
      <c r="A100" t="s">
        <v>640</v>
      </c>
      <c r="B100">
        <v>481.97539999999998</v>
      </c>
      <c r="C100">
        <v>33.5017</v>
      </c>
      <c r="D100">
        <v>37.805799999999998</v>
      </c>
      <c r="E100">
        <v>37.9773</v>
      </c>
      <c r="F100">
        <v>8809.0300000000007</v>
      </c>
      <c r="G100">
        <v>5</v>
      </c>
      <c r="H100">
        <v>189.44</v>
      </c>
      <c r="I100">
        <v>0</v>
      </c>
    </row>
    <row r="101" spans="1:9">
      <c r="A101" t="s">
        <v>641</v>
      </c>
      <c r="B101">
        <v>2637.761</v>
      </c>
      <c r="C101">
        <v>45.566800000000001</v>
      </c>
      <c r="D101">
        <v>47.292700000000004</v>
      </c>
      <c r="E101">
        <v>47.378999999999998</v>
      </c>
      <c r="F101">
        <v>39628.47</v>
      </c>
      <c r="G101">
        <v>10.75</v>
      </c>
      <c r="H101">
        <v>217.42</v>
      </c>
      <c r="I101">
        <v>0</v>
      </c>
    </row>
    <row r="102" spans="1:9">
      <c r="A102" t="s">
        <v>642</v>
      </c>
      <c r="B102">
        <v>1762.0337999999999</v>
      </c>
      <c r="C102">
        <v>41.5822</v>
      </c>
      <c r="D102">
        <v>44.537599999999998</v>
      </c>
      <c r="E102">
        <v>44.213900000000002</v>
      </c>
      <c r="F102">
        <v>32268.63</v>
      </c>
      <c r="G102">
        <v>9.41</v>
      </c>
      <c r="H102">
        <v>243.44</v>
      </c>
      <c r="I102">
        <v>0</v>
      </c>
    </row>
    <row r="103" spans="1:9">
      <c r="A103" t="s">
        <v>643</v>
      </c>
      <c r="B103">
        <v>1136.72</v>
      </c>
      <c r="C103">
        <v>37.747100000000003</v>
      </c>
      <c r="D103">
        <v>42.357199999999999</v>
      </c>
      <c r="E103">
        <v>41.384799999999998</v>
      </c>
      <c r="F103">
        <v>25213.63</v>
      </c>
      <c r="G103">
        <v>8.4</v>
      </c>
      <c r="H103">
        <v>234.75</v>
      </c>
      <c r="I103">
        <v>0</v>
      </c>
    </row>
    <row r="104" spans="1:9">
      <c r="A104" t="s">
        <v>644</v>
      </c>
      <c r="B104">
        <v>730.08950000000004</v>
      </c>
      <c r="C104">
        <v>34.1419</v>
      </c>
      <c r="D104">
        <v>40.689300000000003</v>
      </c>
      <c r="E104">
        <v>39.179099999999998</v>
      </c>
      <c r="F104">
        <v>19046.36</v>
      </c>
      <c r="G104">
        <v>7.84</v>
      </c>
      <c r="H104">
        <v>244.9</v>
      </c>
      <c r="I104">
        <v>0</v>
      </c>
    </row>
    <row r="105" spans="1:9">
      <c r="A105" t="s">
        <v>645</v>
      </c>
      <c r="B105">
        <v>3787.0041999999999</v>
      </c>
      <c r="C105">
        <v>47.520299999999999</v>
      </c>
      <c r="D105">
        <v>45.566299999999998</v>
      </c>
      <c r="E105">
        <v>45.831400000000002</v>
      </c>
      <c r="F105">
        <v>26136.080000000002</v>
      </c>
      <c r="G105">
        <v>7.74</v>
      </c>
      <c r="H105">
        <v>249.54</v>
      </c>
      <c r="I105">
        <v>0</v>
      </c>
    </row>
    <row r="106" spans="1:9">
      <c r="A106" t="s">
        <v>646</v>
      </c>
      <c r="B106">
        <v>2871.5250000000001</v>
      </c>
      <c r="C106">
        <v>43.251600000000003</v>
      </c>
      <c r="D106">
        <v>41.467500000000001</v>
      </c>
      <c r="E106">
        <v>42.461100000000002</v>
      </c>
      <c r="F106">
        <v>23294.38</v>
      </c>
      <c r="G106">
        <v>7.03</v>
      </c>
      <c r="H106">
        <v>263.43</v>
      </c>
      <c r="I106">
        <v>0</v>
      </c>
    </row>
    <row r="107" spans="1:9">
      <c r="A107" t="s">
        <v>647</v>
      </c>
      <c r="B107">
        <v>2187.9766</v>
      </c>
      <c r="C107">
        <v>38.747399999999999</v>
      </c>
      <c r="D107">
        <v>39.284500000000001</v>
      </c>
      <c r="E107">
        <v>40.567399999999999</v>
      </c>
      <c r="F107">
        <v>20970.34</v>
      </c>
      <c r="G107">
        <v>6.76</v>
      </c>
      <c r="H107">
        <v>265.17</v>
      </c>
      <c r="I107">
        <v>0</v>
      </c>
    </row>
    <row r="108" spans="1:9">
      <c r="A108" t="s">
        <v>648</v>
      </c>
      <c r="B108">
        <v>1651.3461</v>
      </c>
      <c r="C108">
        <v>34.056899999999999</v>
      </c>
      <c r="D108">
        <v>38.351599999999998</v>
      </c>
      <c r="E108">
        <v>39.548000000000002</v>
      </c>
      <c r="F108">
        <v>18100.87</v>
      </c>
      <c r="G108">
        <v>5.95</v>
      </c>
      <c r="H108">
        <v>230.55</v>
      </c>
      <c r="I108">
        <v>0</v>
      </c>
    </row>
    <row r="109" spans="1:9">
      <c r="A109" t="s">
        <v>649</v>
      </c>
      <c r="B109">
        <v>601.59680000000003</v>
      </c>
      <c r="C109">
        <v>51.365699999999997</v>
      </c>
      <c r="D109">
        <v>53.924300000000002</v>
      </c>
      <c r="E109">
        <v>54.774099999999997</v>
      </c>
      <c r="F109">
        <v>17914.61</v>
      </c>
      <c r="G109">
        <v>7.73</v>
      </c>
      <c r="H109">
        <v>266.3</v>
      </c>
      <c r="I109">
        <v>0</v>
      </c>
    </row>
    <row r="110" spans="1:9">
      <c r="A110" t="s">
        <v>650</v>
      </c>
      <c r="B110">
        <v>407.85140000000001</v>
      </c>
      <c r="C110">
        <v>47.820300000000003</v>
      </c>
      <c r="D110">
        <v>50.808999999999997</v>
      </c>
      <c r="E110">
        <v>51.904699999999998</v>
      </c>
      <c r="F110">
        <v>14151.31</v>
      </c>
      <c r="G110">
        <v>7.35</v>
      </c>
      <c r="H110">
        <v>239.45</v>
      </c>
      <c r="I110">
        <v>0</v>
      </c>
    </row>
    <row r="111" spans="1:9">
      <c r="A111" t="s">
        <v>651</v>
      </c>
      <c r="B111">
        <v>278.82</v>
      </c>
      <c r="C111">
        <v>44.232199999999999</v>
      </c>
      <c r="D111">
        <v>48.363799999999998</v>
      </c>
      <c r="E111">
        <v>49.902900000000002</v>
      </c>
      <c r="F111">
        <v>11282.63</v>
      </c>
      <c r="G111">
        <v>6.92</v>
      </c>
      <c r="H111">
        <v>248.92</v>
      </c>
      <c r="I111">
        <v>0</v>
      </c>
    </row>
    <row r="112" spans="1:9">
      <c r="A112" t="s">
        <v>652</v>
      </c>
      <c r="B112">
        <v>188.0025</v>
      </c>
      <c r="C112">
        <v>40.425199999999997</v>
      </c>
      <c r="D112">
        <v>46.6233</v>
      </c>
      <c r="E112">
        <v>48.497399999999999</v>
      </c>
      <c r="F112">
        <v>9100.85</v>
      </c>
      <c r="G112">
        <v>6.73</v>
      </c>
      <c r="H112">
        <v>243.52</v>
      </c>
      <c r="I112">
        <v>0</v>
      </c>
    </row>
    <row r="113" spans="1:9">
      <c r="A113" t="s">
        <v>653</v>
      </c>
      <c r="B113">
        <v>29629.058000000001</v>
      </c>
      <c r="C113">
        <v>40.357100000000003</v>
      </c>
      <c r="D113">
        <v>49.016300000000001</v>
      </c>
      <c r="E113">
        <v>47.2393</v>
      </c>
      <c r="F113">
        <v>1044308.42</v>
      </c>
      <c r="G113">
        <v>750.32</v>
      </c>
      <c r="H113">
        <v>6540.37</v>
      </c>
      <c r="I113">
        <v>0</v>
      </c>
    </row>
    <row r="114" spans="1:9">
      <c r="A114" t="s">
        <v>654</v>
      </c>
      <c r="B114">
        <v>7693.0873000000001</v>
      </c>
      <c r="C114">
        <v>39.633200000000002</v>
      </c>
      <c r="D114">
        <v>48.333599999999997</v>
      </c>
      <c r="E114">
        <v>46.113700000000001</v>
      </c>
      <c r="F114">
        <v>601164.77</v>
      </c>
      <c r="G114">
        <v>845.78</v>
      </c>
      <c r="H114">
        <v>6530.69</v>
      </c>
      <c r="I114">
        <v>0</v>
      </c>
    </row>
    <row r="115" spans="1:9">
      <c r="A115" t="s">
        <v>655</v>
      </c>
      <c r="B115">
        <v>3750.6531</v>
      </c>
      <c r="C115">
        <v>38.732799999999997</v>
      </c>
      <c r="D115">
        <v>47.520699999999998</v>
      </c>
      <c r="E115">
        <v>44.899700000000003</v>
      </c>
      <c r="F115">
        <v>460844.43</v>
      </c>
      <c r="G115">
        <v>882.79</v>
      </c>
      <c r="H115">
        <v>6510.64</v>
      </c>
      <c r="I115">
        <v>0</v>
      </c>
    </row>
    <row r="116" spans="1:9">
      <c r="A116" t="s">
        <v>656</v>
      </c>
      <c r="B116">
        <v>2043.3844999999999</v>
      </c>
      <c r="C116">
        <v>37.364199999999997</v>
      </c>
      <c r="D116">
        <v>46.788600000000002</v>
      </c>
      <c r="E116">
        <v>43.7239</v>
      </c>
      <c r="F116">
        <v>357633.18</v>
      </c>
      <c r="G116">
        <v>931.78</v>
      </c>
      <c r="H116">
        <v>6521.16</v>
      </c>
      <c r="I116">
        <v>0</v>
      </c>
    </row>
    <row r="117" spans="1:9">
      <c r="A117" t="s">
        <v>657</v>
      </c>
      <c r="B117">
        <v>93022.327999999994</v>
      </c>
      <c r="C117">
        <v>41.782600000000002</v>
      </c>
      <c r="D117">
        <v>43.987099999999998</v>
      </c>
      <c r="E117">
        <v>42.110799999999998</v>
      </c>
      <c r="F117">
        <v>857125.31</v>
      </c>
      <c r="G117">
        <v>845.99</v>
      </c>
      <c r="H117">
        <v>6171.72</v>
      </c>
      <c r="I117">
        <v>0</v>
      </c>
    </row>
    <row r="118" spans="1:9">
      <c r="A118" t="s">
        <v>658</v>
      </c>
      <c r="B118">
        <v>22511.578699999998</v>
      </c>
      <c r="C118">
        <v>39.457900000000002</v>
      </c>
      <c r="D118">
        <v>42.8658</v>
      </c>
      <c r="E118">
        <v>41.091200000000001</v>
      </c>
      <c r="F118">
        <v>486002.81</v>
      </c>
      <c r="G118">
        <v>660.79</v>
      </c>
      <c r="H118">
        <v>6148.05</v>
      </c>
      <c r="I118">
        <v>0</v>
      </c>
    </row>
    <row r="119" spans="1:9">
      <c r="A119" t="s">
        <v>659</v>
      </c>
      <c r="B119">
        <v>9220.2906999999996</v>
      </c>
      <c r="C119">
        <v>37.640599999999999</v>
      </c>
      <c r="D119">
        <v>41.835799999999999</v>
      </c>
      <c r="E119">
        <v>40.183900000000001</v>
      </c>
      <c r="F119">
        <v>373172.65</v>
      </c>
      <c r="G119">
        <v>680.85</v>
      </c>
      <c r="H119">
        <v>6178.94</v>
      </c>
      <c r="I119">
        <v>0</v>
      </c>
    </row>
    <row r="120" spans="1:9">
      <c r="A120" t="s">
        <v>660</v>
      </c>
      <c r="B120">
        <v>4557.5039999999999</v>
      </c>
      <c r="C120">
        <v>35.600099999999998</v>
      </c>
      <c r="D120">
        <v>40.887099999999997</v>
      </c>
      <c r="E120">
        <v>39.356699999999996</v>
      </c>
      <c r="F120">
        <v>289725.19</v>
      </c>
      <c r="G120">
        <v>701.37</v>
      </c>
      <c r="H120">
        <v>6142.53</v>
      </c>
      <c r="I120">
        <v>0</v>
      </c>
    </row>
    <row r="121" spans="1:9">
      <c r="A121" t="s">
        <v>661</v>
      </c>
      <c r="B121">
        <v>50888.0144</v>
      </c>
      <c r="C121">
        <v>39.144799999999996</v>
      </c>
      <c r="D121">
        <v>42.1038</v>
      </c>
      <c r="E121">
        <v>43.161200000000001</v>
      </c>
      <c r="F121">
        <v>1452757.75</v>
      </c>
      <c r="G121">
        <v>587.15</v>
      </c>
      <c r="H121">
        <v>6180.31</v>
      </c>
      <c r="I121">
        <v>0</v>
      </c>
    </row>
    <row r="122" spans="1:9">
      <c r="A122" t="s">
        <v>662</v>
      </c>
      <c r="B122">
        <v>15853.4512</v>
      </c>
      <c r="C122">
        <v>37.600499999999997</v>
      </c>
      <c r="D122">
        <v>39.1997</v>
      </c>
      <c r="E122">
        <v>41.582900000000002</v>
      </c>
      <c r="F122">
        <v>884501.65</v>
      </c>
      <c r="G122">
        <v>466.16</v>
      </c>
      <c r="H122">
        <v>6163.33</v>
      </c>
      <c r="I122">
        <v>0</v>
      </c>
    </row>
    <row r="123" spans="1:9">
      <c r="A123" t="s">
        <v>663</v>
      </c>
      <c r="B123">
        <v>7925.7672000000002</v>
      </c>
      <c r="C123">
        <v>36.471499999999999</v>
      </c>
      <c r="D123">
        <v>37.375399999999999</v>
      </c>
      <c r="E123">
        <v>40.371200000000002</v>
      </c>
      <c r="F123">
        <v>686068.16</v>
      </c>
      <c r="G123">
        <v>483.02</v>
      </c>
      <c r="H123">
        <v>6146.57</v>
      </c>
      <c r="I123">
        <v>0</v>
      </c>
    </row>
    <row r="124" spans="1:9">
      <c r="A124" t="s">
        <v>664</v>
      </c>
      <c r="B124">
        <v>4203.0672000000004</v>
      </c>
      <c r="C124">
        <v>35.066000000000003</v>
      </c>
      <c r="D124">
        <v>35.200699999999998</v>
      </c>
      <c r="E124">
        <v>38.901699999999998</v>
      </c>
      <c r="F124">
        <v>535353.18999999994</v>
      </c>
      <c r="G124">
        <v>517.27</v>
      </c>
      <c r="H124">
        <v>6167.89</v>
      </c>
      <c r="I124">
        <v>0</v>
      </c>
    </row>
    <row r="125" spans="1:9">
      <c r="A125" t="s">
        <v>665</v>
      </c>
      <c r="B125">
        <v>204746.432</v>
      </c>
      <c r="C125">
        <v>40.3005</v>
      </c>
      <c r="D125">
        <v>45.532299999999999</v>
      </c>
      <c r="E125">
        <v>41.697400000000002</v>
      </c>
      <c r="F125">
        <v>2062648.99</v>
      </c>
      <c r="G125">
        <v>757.93</v>
      </c>
      <c r="H125">
        <v>6539.38</v>
      </c>
      <c r="I125">
        <v>0</v>
      </c>
    </row>
    <row r="126" spans="1:9">
      <c r="A126" t="s">
        <v>666</v>
      </c>
      <c r="B126">
        <v>89963.675199999998</v>
      </c>
      <c r="C126">
        <v>36.2331</v>
      </c>
      <c r="D126">
        <v>44.352400000000003</v>
      </c>
      <c r="E126">
        <v>40.224299999999999</v>
      </c>
      <c r="F126">
        <v>1749768.51</v>
      </c>
      <c r="G126">
        <v>852.26</v>
      </c>
      <c r="H126">
        <v>6543.29</v>
      </c>
      <c r="I126">
        <v>0</v>
      </c>
    </row>
    <row r="127" spans="1:9">
      <c r="A127" t="s">
        <v>667</v>
      </c>
      <c r="B127">
        <v>41308.112000000001</v>
      </c>
      <c r="C127">
        <v>33.081200000000003</v>
      </c>
      <c r="D127">
        <v>43.746400000000001</v>
      </c>
      <c r="E127">
        <v>39.5807</v>
      </c>
      <c r="F127">
        <v>1282853.53</v>
      </c>
      <c r="G127">
        <v>931.14</v>
      </c>
      <c r="H127">
        <v>6541.32</v>
      </c>
      <c r="I127">
        <v>0</v>
      </c>
    </row>
    <row r="128" spans="1:9">
      <c r="A128" t="s">
        <v>668</v>
      </c>
      <c r="B128">
        <v>17690.16</v>
      </c>
      <c r="C128">
        <v>30.388400000000001</v>
      </c>
      <c r="D128">
        <v>43.1828</v>
      </c>
      <c r="E128">
        <v>39.066600000000001</v>
      </c>
      <c r="F128">
        <v>967912.44</v>
      </c>
      <c r="G128">
        <v>995.64</v>
      </c>
      <c r="H128">
        <v>6541.62</v>
      </c>
      <c r="I128">
        <v>0</v>
      </c>
    </row>
    <row r="129" spans="1:9">
      <c r="A129" t="s">
        <v>669</v>
      </c>
      <c r="B129">
        <v>32677.947199999999</v>
      </c>
      <c r="C129">
        <v>40.390900000000002</v>
      </c>
      <c r="D129">
        <v>41.771900000000002</v>
      </c>
      <c r="E129">
        <v>43.3386</v>
      </c>
      <c r="F129">
        <v>673449.69</v>
      </c>
      <c r="G129">
        <v>951.71</v>
      </c>
      <c r="H129">
        <v>6135.95</v>
      </c>
      <c r="I129">
        <v>0</v>
      </c>
    </row>
    <row r="130" spans="1:9">
      <c r="A130" t="s">
        <v>670</v>
      </c>
      <c r="B130">
        <v>8718.1136000000006</v>
      </c>
      <c r="C130">
        <v>39.398699999999998</v>
      </c>
      <c r="D130">
        <v>41.281799999999997</v>
      </c>
      <c r="E130">
        <v>42.229500000000002</v>
      </c>
      <c r="F130">
        <v>439208.01</v>
      </c>
      <c r="G130">
        <v>1002.72</v>
      </c>
      <c r="H130">
        <v>6158.72</v>
      </c>
      <c r="I130">
        <v>0</v>
      </c>
    </row>
    <row r="131" spans="1:9">
      <c r="A131" t="s">
        <v>671</v>
      </c>
      <c r="B131">
        <v>4211.6656000000003</v>
      </c>
      <c r="C131">
        <v>38.135399999999997</v>
      </c>
      <c r="D131">
        <v>40.711799999999997</v>
      </c>
      <c r="E131">
        <v>41.0642</v>
      </c>
      <c r="F131">
        <v>336790.06</v>
      </c>
      <c r="G131">
        <v>1008.52</v>
      </c>
      <c r="H131">
        <v>6149.06</v>
      </c>
      <c r="I131">
        <v>0</v>
      </c>
    </row>
    <row r="132" spans="1:9">
      <c r="A132" t="s">
        <v>672</v>
      </c>
      <c r="B132">
        <v>2232.3728000000001</v>
      </c>
      <c r="C132">
        <v>36.404200000000003</v>
      </c>
      <c r="D132">
        <v>40.120199999999997</v>
      </c>
      <c r="E132">
        <v>39.939599999999999</v>
      </c>
      <c r="F132">
        <v>266280.64</v>
      </c>
      <c r="G132">
        <v>1001.53</v>
      </c>
      <c r="H132">
        <v>6165.59</v>
      </c>
      <c r="I132">
        <v>0</v>
      </c>
    </row>
    <row r="133" spans="1:9">
      <c r="A133" t="s">
        <v>673</v>
      </c>
      <c r="B133">
        <v>14467.696</v>
      </c>
      <c r="C133">
        <v>40.0715</v>
      </c>
      <c r="D133">
        <v>47.701700000000002</v>
      </c>
      <c r="E133">
        <v>47.211100000000002</v>
      </c>
      <c r="F133">
        <v>487275.27</v>
      </c>
      <c r="G133">
        <v>676.47</v>
      </c>
      <c r="H133">
        <v>6165.27</v>
      </c>
      <c r="I133">
        <v>0</v>
      </c>
    </row>
    <row r="134" spans="1:9">
      <c r="A134" t="s">
        <v>674</v>
      </c>
      <c r="B134">
        <v>3371.0832</v>
      </c>
      <c r="C134">
        <v>39.219799999999999</v>
      </c>
      <c r="D134">
        <v>46.567300000000003</v>
      </c>
      <c r="E134">
        <v>46.296799999999998</v>
      </c>
      <c r="F134">
        <v>266411.69</v>
      </c>
      <c r="G134">
        <v>644.16</v>
      </c>
      <c r="H134">
        <v>6146.89</v>
      </c>
      <c r="I134">
        <v>0</v>
      </c>
    </row>
    <row r="135" spans="1:9">
      <c r="A135" t="s">
        <v>675</v>
      </c>
      <c r="B135">
        <v>1480.3928000000001</v>
      </c>
      <c r="C135">
        <v>38.192100000000003</v>
      </c>
      <c r="D135">
        <v>45.374000000000002</v>
      </c>
      <c r="E135">
        <v>45.210099999999997</v>
      </c>
      <c r="F135">
        <v>186028.09</v>
      </c>
      <c r="G135">
        <v>642.4</v>
      </c>
      <c r="H135">
        <v>6162.1</v>
      </c>
      <c r="I135">
        <v>0</v>
      </c>
    </row>
    <row r="136" spans="1:9">
      <c r="A136" t="s">
        <v>676</v>
      </c>
      <c r="B136">
        <v>729.90959999999995</v>
      </c>
      <c r="C136">
        <v>36.907600000000002</v>
      </c>
      <c r="D136">
        <v>44.089500000000001</v>
      </c>
      <c r="E136">
        <v>43.9679</v>
      </c>
      <c r="F136">
        <v>146248.51</v>
      </c>
      <c r="G136">
        <v>672.41</v>
      </c>
      <c r="H136">
        <v>6174.5</v>
      </c>
      <c r="I136">
        <v>0</v>
      </c>
    </row>
    <row r="137" spans="1:9">
      <c r="A137" t="s">
        <v>677</v>
      </c>
      <c r="B137">
        <v>55297.470399999998</v>
      </c>
      <c r="C137">
        <v>38.171300000000002</v>
      </c>
      <c r="D137">
        <v>45.905200000000001</v>
      </c>
      <c r="E137">
        <v>43.802</v>
      </c>
      <c r="F137">
        <v>965208.75</v>
      </c>
      <c r="G137">
        <v>741.84</v>
      </c>
      <c r="H137">
        <v>6164.2</v>
      </c>
      <c r="I137">
        <v>0</v>
      </c>
    </row>
    <row r="138" spans="1:9">
      <c r="A138" t="s">
        <v>678</v>
      </c>
      <c r="B138">
        <v>10403.9408</v>
      </c>
      <c r="C138">
        <v>37.286999999999999</v>
      </c>
      <c r="D138">
        <v>45.1175</v>
      </c>
      <c r="E138">
        <v>42.884</v>
      </c>
      <c r="F138">
        <v>529153.39</v>
      </c>
      <c r="G138">
        <v>766.46</v>
      </c>
      <c r="H138">
        <v>6173.28</v>
      </c>
      <c r="I138">
        <v>0</v>
      </c>
    </row>
    <row r="139" spans="1:9">
      <c r="A139" t="s">
        <v>679</v>
      </c>
      <c r="B139">
        <v>4263.1023999999998</v>
      </c>
      <c r="C139">
        <v>36.3673</v>
      </c>
      <c r="D139">
        <v>44.2273</v>
      </c>
      <c r="E139">
        <v>41.888599999999997</v>
      </c>
      <c r="F139">
        <v>378032.34</v>
      </c>
      <c r="G139">
        <v>725.46</v>
      </c>
      <c r="H139">
        <v>6178.75</v>
      </c>
      <c r="I139">
        <v>0</v>
      </c>
    </row>
    <row r="140" spans="1:9">
      <c r="A140" t="s">
        <v>680</v>
      </c>
      <c r="B140">
        <v>2133.4751999999999</v>
      </c>
      <c r="C140">
        <v>35.011699999999998</v>
      </c>
      <c r="D140">
        <v>43.331299999999999</v>
      </c>
      <c r="E140">
        <v>40.888800000000003</v>
      </c>
      <c r="F140">
        <v>293337.37</v>
      </c>
      <c r="G140">
        <v>717.84</v>
      </c>
      <c r="H140">
        <v>6146.89</v>
      </c>
      <c r="I140">
        <v>0</v>
      </c>
    </row>
    <row r="141" spans="1:9">
      <c r="A141" t="s">
        <v>681</v>
      </c>
      <c r="B141">
        <v>20663.380799999999</v>
      </c>
      <c r="C141">
        <v>45.503300000000003</v>
      </c>
      <c r="D141">
        <v>47.240699999999997</v>
      </c>
      <c r="E141">
        <v>45.9542</v>
      </c>
      <c r="F141">
        <v>860413.87</v>
      </c>
      <c r="G141">
        <v>693.56</v>
      </c>
      <c r="H141">
        <v>6518.55</v>
      </c>
      <c r="I141">
        <v>0</v>
      </c>
    </row>
    <row r="142" spans="1:9">
      <c r="A142" t="s">
        <v>682</v>
      </c>
      <c r="B142">
        <v>7708.9696000000004</v>
      </c>
      <c r="C142">
        <v>43.520200000000003</v>
      </c>
      <c r="D142">
        <v>45.806899999999999</v>
      </c>
      <c r="E142">
        <v>44.838099999999997</v>
      </c>
      <c r="F142">
        <v>616933.76</v>
      </c>
      <c r="G142">
        <v>654.38</v>
      </c>
      <c r="H142">
        <v>6509.67</v>
      </c>
      <c r="I142">
        <v>0</v>
      </c>
    </row>
    <row r="143" spans="1:9">
      <c r="A143" t="s">
        <v>683</v>
      </c>
      <c r="B143">
        <v>3766.5920000000001</v>
      </c>
      <c r="C143">
        <v>41.433100000000003</v>
      </c>
      <c r="D143">
        <v>44.466099999999997</v>
      </c>
      <c r="E143">
        <v>43.910400000000003</v>
      </c>
      <c r="F143">
        <v>473682.27</v>
      </c>
      <c r="G143">
        <v>591.53</v>
      </c>
      <c r="H143">
        <v>6512.79</v>
      </c>
      <c r="I143">
        <v>0</v>
      </c>
    </row>
    <row r="144" spans="1:9">
      <c r="A144" t="s">
        <v>684</v>
      </c>
      <c r="B144">
        <v>1974.5376000000001</v>
      </c>
      <c r="C144">
        <v>39.110399999999998</v>
      </c>
      <c r="D144">
        <v>43.175899999999999</v>
      </c>
      <c r="E144">
        <v>43.060899999999997</v>
      </c>
      <c r="F144">
        <v>366337.98</v>
      </c>
      <c r="G144">
        <v>534.51</v>
      </c>
      <c r="H144">
        <v>6497.09</v>
      </c>
      <c r="I144">
        <v>0</v>
      </c>
    </row>
    <row r="145" spans="1:9">
      <c r="A145" t="s">
        <v>685</v>
      </c>
      <c r="B145">
        <v>4097.3335999999999</v>
      </c>
      <c r="C145">
        <v>41.9649</v>
      </c>
      <c r="D145">
        <v>43.601799999999997</v>
      </c>
      <c r="E145">
        <v>45.435200000000002</v>
      </c>
      <c r="F145">
        <v>154145.35</v>
      </c>
      <c r="G145">
        <v>184.72</v>
      </c>
      <c r="H145">
        <v>1827.84</v>
      </c>
      <c r="I145">
        <v>0</v>
      </c>
    </row>
    <row r="146" spans="1:9">
      <c r="A146" t="s">
        <v>686</v>
      </c>
      <c r="B146">
        <v>1743.8879999999999</v>
      </c>
      <c r="C146">
        <v>40.083199999999998</v>
      </c>
      <c r="D146">
        <v>42.462200000000003</v>
      </c>
      <c r="E146">
        <v>43.725000000000001</v>
      </c>
      <c r="F146">
        <v>113934.02</v>
      </c>
      <c r="G146">
        <v>186.69</v>
      </c>
      <c r="H146">
        <v>1839.63</v>
      </c>
      <c r="I146">
        <v>0</v>
      </c>
    </row>
    <row r="147" spans="1:9">
      <c r="A147" t="s">
        <v>687</v>
      </c>
      <c r="B147">
        <v>852.31280000000004</v>
      </c>
      <c r="C147">
        <v>37.8386</v>
      </c>
      <c r="D147">
        <v>41.4861</v>
      </c>
      <c r="E147">
        <v>42.472200000000001</v>
      </c>
      <c r="F147">
        <v>87277.66</v>
      </c>
      <c r="G147">
        <v>192.38</v>
      </c>
      <c r="H147">
        <v>1832.4</v>
      </c>
      <c r="I147">
        <v>0</v>
      </c>
    </row>
    <row r="148" spans="1:9">
      <c r="A148" t="s">
        <v>688</v>
      </c>
      <c r="B148">
        <v>415.05279999999999</v>
      </c>
      <c r="C148">
        <v>35.3797</v>
      </c>
      <c r="D148">
        <v>40.598799999999997</v>
      </c>
      <c r="E148">
        <v>41.564399999999999</v>
      </c>
      <c r="F148">
        <v>69498.83</v>
      </c>
      <c r="G148">
        <v>202.49</v>
      </c>
      <c r="H148">
        <v>1832.93</v>
      </c>
      <c r="I148">
        <v>0</v>
      </c>
    </row>
    <row r="149" spans="1:9">
      <c r="A149" t="s">
        <v>689</v>
      </c>
      <c r="B149">
        <v>6355.3519999999999</v>
      </c>
      <c r="C149">
        <v>40.4726</v>
      </c>
      <c r="D149">
        <v>42.615499999999997</v>
      </c>
      <c r="E149">
        <v>44.194200000000002</v>
      </c>
      <c r="F149">
        <v>126171.69</v>
      </c>
      <c r="G149">
        <v>172.21</v>
      </c>
      <c r="H149">
        <v>1832.6</v>
      </c>
      <c r="I149">
        <v>0</v>
      </c>
    </row>
    <row r="150" spans="1:9">
      <c r="A150" t="s">
        <v>690</v>
      </c>
      <c r="B150">
        <v>2663.3184000000001</v>
      </c>
      <c r="C150">
        <v>38.037500000000001</v>
      </c>
      <c r="D150">
        <v>41.166800000000002</v>
      </c>
      <c r="E150">
        <v>42.077399999999997</v>
      </c>
      <c r="F150">
        <v>93679.23</v>
      </c>
      <c r="G150">
        <v>166.09</v>
      </c>
      <c r="H150">
        <v>1840.42</v>
      </c>
      <c r="I150">
        <v>0</v>
      </c>
    </row>
    <row r="151" spans="1:9">
      <c r="A151" t="s">
        <v>691</v>
      </c>
      <c r="B151">
        <v>1238.172</v>
      </c>
      <c r="C151">
        <v>35.559699999999999</v>
      </c>
      <c r="D151">
        <v>39.818300000000001</v>
      </c>
      <c r="E151">
        <v>40.479999999999997</v>
      </c>
      <c r="F151">
        <v>71867.179999999993</v>
      </c>
      <c r="G151">
        <v>165.33</v>
      </c>
      <c r="H151">
        <v>1840.69</v>
      </c>
      <c r="I151">
        <v>0</v>
      </c>
    </row>
    <row r="152" spans="1:9">
      <c r="A152" t="s">
        <v>692</v>
      </c>
      <c r="B152">
        <v>573.14319999999998</v>
      </c>
      <c r="C152">
        <v>33.097000000000001</v>
      </c>
      <c r="D152">
        <v>38.5518</v>
      </c>
      <c r="E152">
        <v>39.417000000000002</v>
      </c>
      <c r="F152">
        <v>54560.55</v>
      </c>
      <c r="G152">
        <v>171.51</v>
      </c>
      <c r="H152">
        <v>1818.11</v>
      </c>
      <c r="I152">
        <v>0</v>
      </c>
    </row>
    <row r="153" spans="1:9">
      <c r="A153" t="s">
        <v>693</v>
      </c>
      <c r="B153">
        <v>14522.018400000001</v>
      </c>
      <c r="C153">
        <v>38.686399999999999</v>
      </c>
      <c r="D153">
        <v>40.022199999999998</v>
      </c>
      <c r="E153">
        <v>43.786299999999997</v>
      </c>
      <c r="F153">
        <v>327103.68</v>
      </c>
      <c r="G153">
        <v>414.59</v>
      </c>
      <c r="H153">
        <v>1843.83</v>
      </c>
      <c r="I153">
        <v>0</v>
      </c>
    </row>
    <row r="154" spans="1:9">
      <c r="A154" t="s">
        <v>694</v>
      </c>
      <c r="B154">
        <v>4346.4975999999997</v>
      </c>
      <c r="C154">
        <v>37.1843</v>
      </c>
      <c r="D154">
        <v>39.347799999999999</v>
      </c>
      <c r="E154">
        <v>42.391300000000001</v>
      </c>
      <c r="F154">
        <v>213988.59</v>
      </c>
      <c r="G154">
        <v>395.24</v>
      </c>
      <c r="H154">
        <v>1842.38</v>
      </c>
      <c r="I154">
        <v>0</v>
      </c>
    </row>
    <row r="155" spans="1:9">
      <c r="A155" t="s">
        <v>695</v>
      </c>
      <c r="B155">
        <v>2016.4552000000001</v>
      </c>
      <c r="C155">
        <v>35.511600000000001</v>
      </c>
      <c r="D155">
        <v>38.727699999999999</v>
      </c>
      <c r="E155">
        <v>41.075400000000002</v>
      </c>
      <c r="F155">
        <v>167571.96</v>
      </c>
      <c r="G155">
        <v>397.36</v>
      </c>
      <c r="H155">
        <v>1821.13</v>
      </c>
      <c r="I155">
        <v>0</v>
      </c>
    </row>
    <row r="156" spans="1:9">
      <c r="A156" t="s">
        <v>696</v>
      </c>
      <c r="B156">
        <v>997.89120000000003</v>
      </c>
      <c r="C156">
        <v>33.439399999999999</v>
      </c>
      <c r="D156">
        <v>38.007100000000001</v>
      </c>
      <c r="E156">
        <v>39.8371</v>
      </c>
      <c r="F156">
        <v>132499.25</v>
      </c>
      <c r="G156">
        <v>381.88</v>
      </c>
      <c r="H156">
        <v>1818.82</v>
      </c>
      <c r="I156">
        <v>0</v>
      </c>
    </row>
    <row r="157" spans="1:9">
      <c r="A157" t="s">
        <v>697</v>
      </c>
      <c r="B157">
        <v>14463.2336</v>
      </c>
      <c r="C157">
        <v>39.433100000000003</v>
      </c>
      <c r="D157">
        <v>44.052100000000003</v>
      </c>
      <c r="E157">
        <v>45.433</v>
      </c>
      <c r="F157">
        <v>437373.86</v>
      </c>
      <c r="G157">
        <v>331.33</v>
      </c>
      <c r="H157">
        <v>1822.95</v>
      </c>
      <c r="I157">
        <v>0</v>
      </c>
    </row>
    <row r="158" spans="1:9">
      <c r="A158" t="s">
        <v>698</v>
      </c>
      <c r="B158">
        <v>4703.9304000000002</v>
      </c>
      <c r="C158">
        <v>37.81</v>
      </c>
      <c r="D158">
        <v>43.0593</v>
      </c>
      <c r="E158">
        <v>43.7988</v>
      </c>
      <c r="F158">
        <v>287464.65999999997</v>
      </c>
      <c r="G158">
        <v>300.33</v>
      </c>
      <c r="H158">
        <v>1820.88</v>
      </c>
      <c r="I158">
        <v>0</v>
      </c>
    </row>
    <row r="159" spans="1:9">
      <c r="A159" t="s">
        <v>699</v>
      </c>
      <c r="B159">
        <v>2204.4184</v>
      </c>
      <c r="C159">
        <v>36.114800000000002</v>
      </c>
      <c r="D159">
        <v>42.079799999999999</v>
      </c>
      <c r="E159">
        <v>42.325499999999998</v>
      </c>
      <c r="F159">
        <v>221503.34</v>
      </c>
      <c r="G159">
        <v>309.91000000000003</v>
      </c>
      <c r="H159">
        <v>1842.97</v>
      </c>
      <c r="I159">
        <v>0</v>
      </c>
    </row>
    <row r="160" spans="1:9">
      <c r="A160" t="s">
        <v>700</v>
      </c>
      <c r="B160">
        <v>1106.028</v>
      </c>
      <c r="C160">
        <v>34.137799999999999</v>
      </c>
      <c r="D160">
        <v>41.139499999999998</v>
      </c>
      <c r="E160">
        <v>40.866799999999998</v>
      </c>
      <c r="F160">
        <v>176137.81</v>
      </c>
      <c r="G160">
        <v>332.12</v>
      </c>
      <c r="H160">
        <v>1839.18</v>
      </c>
      <c r="I160">
        <v>0</v>
      </c>
    </row>
    <row r="161" spans="1:9">
      <c r="A161" t="s">
        <v>701</v>
      </c>
      <c r="B161">
        <v>33161.911999999997</v>
      </c>
      <c r="C161">
        <v>37.494799999999998</v>
      </c>
      <c r="D161">
        <v>42.352600000000002</v>
      </c>
      <c r="E161">
        <v>44.703699999999998</v>
      </c>
      <c r="F161">
        <v>421666.54</v>
      </c>
      <c r="G161">
        <v>603.97</v>
      </c>
      <c r="H161">
        <v>1844.18</v>
      </c>
      <c r="I161">
        <v>0</v>
      </c>
    </row>
    <row r="162" spans="1:9">
      <c r="A162" t="s">
        <v>702</v>
      </c>
      <c r="B162">
        <v>5742.0384000000004</v>
      </c>
      <c r="C162">
        <v>35.504100000000001</v>
      </c>
      <c r="D162">
        <v>41.383400000000002</v>
      </c>
      <c r="E162">
        <v>43.88</v>
      </c>
      <c r="F162">
        <v>199801.12</v>
      </c>
      <c r="G162">
        <v>314.37</v>
      </c>
      <c r="H162">
        <v>1838.53</v>
      </c>
      <c r="I162">
        <v>0</v>
      </c>
    </row>
    <row r="163" spans="1:9">
      <c r="A163" t="s">
        <v>703</v>
      </c>
      <c r="B163">
        <v>1788.3368</v>
      </c>
      <c r="C163">
        <v>34.2408</v>
      </c>
      <c r="D163">
        <v>40.362299999999998</v>
      </c>
      <c r="E163">
        <v>43.0456</v>
      </c>
      <c r="F163">
        <v>131266.9</v>
      </c>
      <c r="G163">
        <v>271.64999999999998</v>
      </c>
      <c r="H163">
        <v>1838.06</v>
      </c>
      <c r="I163">
        <v>0</v>
      </c>
    </row>
    <row r="164" spans="1:9">
      <c r="A164" t="s">
        <v>704</v>
      </c>
      <c r="B164">
        <v>798.32719999999995</v>
      </c>
      <c r="C164">
        <v>32.733800000000002</v>
      </c>
      <c r="D164">
        <v>39.344900000000003</v>
      </c>
      <c r="E164">
        <v>42.177500000000002</v>
      </c>
      <c r="F164">
        <v>96041.35</v>
      </c>
      <c r="G164">
        <v>270.82</v>
      </c>
      <c r="H164">
        <v>1822.13</v>
      </c>
      <c r="I164">
        <v>0</v>
      </c>
    </row>
    <row r="165" spans="1:9">
      <c r="A165" t="s">
        <v>705</v>
      </c>
      <c r="B165">
        <v>2809.2280000000001</v>
      </c>
      <c r="C165">
        <v>41.496600000000001</v>
      </c>
      <c r="D165">
        <v>43.59</v>
      </c>
      <c r="E165">
        <v>44.331600000000002</v>
      </c>
      <c r="F165">
        <v>86873.52</v>
      </c>
      <c r="G165">
        <v>83.47</v>
      </c>
      <c r="H165">
        <v>567.70000000000005</v>
      </c>
      <c r="I165">
        <v>0</v>
      </c>
    </row>
    <row r="166" spans="1:9">
      <c r="A166" t="s">
        <v>706</v>
      </c>
      <c r="B166">
        <v>1304.8055999999999</v>
      </c>
      <c r="C166">
        <v>38.311500000000002</v>
      </c>
      <c r="D166">
        <v>41.570099999999996</v>
      </c>
      <c r="E166">
        <v>41.923000000000002</v>
      </c>
      <c r="F166">
        <v>73440.27</v>
      </c>
      <c r="G166">
        <v>87.37</v>
      </c>
      <c r="H166">
        <v>569.47</v>
      </c>
      <c r="I166">
        <v>0</v>
      </c>
    </row>
    <row r="167" spans="1:9">
      <c r="A167" t="s">
        <v>707</v>
      </c>
      <c r="B167">
        <v>651.80960000000005</v>
      </c>
      <c r="C167">
        <v>35.370199999999997</v>
      </c>
      <c r="D167">
        <v>39.874099999999999</v>
      </c>
      <c r="E167">
        <v>40.039900000000003</v>
      </c>
      <c r="F167">
        <v>60339.65</v>
      </c>
      <c r="G167">
        <v>99.01</v>
      </c>
      <c r="H167">
        <v>569.03</v>
      </c>
      <c r="I167">
        <v>0</v>
      </c>
    </row>
    <row r="168" spans="1:9">
      <c r="A168" t="s">
        <v>708</v>
      </c>
      <c r="B168">
        <v>329.50240000000002</v>
      </c>
      <c r="C168">
        <v>32.736400000000003</v>
      </c>
      <c r="D168">
        <v>38.317399999999999</v>
      </c>
      <c r="E168">
        <v>38.2851</v>
      </c>
      <c r="F168">
        <v>48909.42</v>
      </c>
      <c r="G168">
        <v>108.74</v>
      </c>
      <c r="H168">
        <v>569.96</v>
      </c>
      <c r="I168">
        <v>0</v>
      </c>
    </row>
    <row r="169" spans="1:9">
      <c r="A169" t="s">
        <v>709</v>
      </c>
      <c r="B169">
        <v>2867.2312000000002</v>
      </c>
      <c r="C169">
        <v>40.595500000000001</v>
      </c>
      <c r="D169">
        <v>43.882199999999997</v>
      </c>
      <c r="E169">
        <v>45.6173</v>
      </c>
      <c r="F169">
        <v>89549.66</v>
      </c>
      <c r="G169">
        <v>140.47999999999999</v>
      </c>
      <c r="H169">
        <v>571.16</v>
      </c>
      <c r="I169">
        <v>0</v>
      </c>
    </row>
    <row r="170" spans="1:9">
      <c r="A170" t="s">
        <v>710</v>
      </c>
      <c r="B170">
        <v>1282.4664</v>
      </c>
      <c r="C170">
        <v>38.123899999999999</v>
      </c>
      <c r="D170">
        <v>42.2363</v>
      </c>
      <c r="E170">
        <v>43.584299999999999</v>
      </c>
      <c r="F170">
        <v>70252.84</v>
      </c>
      <c r="G170">
        <v>142.74</v>
      </c>
      <c r="H170">
        <v>570.08000000000004</v>
      </c>
      <c r="I170">
        <v>0</v>
      </c>
    </row>
    <row r="171" spans="1:9">
      <c r="A171" t="s">
        <v>711</v>
      </c>
      <c r="B171">
        <v>642.48159999999996</v>
      </c>
      <c r="C171">
        <v>35.4863</v>
      </c>
      <c r="D171">
        <v>40.736800000000002</v>
      </c>
      <c r="E171">
        <v>41.824399999999997</v>
      </c>
      <c r="F171">
        <v>57520.13</v>
      </c>
      <c r="G171">
        <v>145.38</v>
      </c>
      <c r="H171">
        <v>569.70000000000005</v>
      </c>
      <c r="I171">
        <v>0</v>
      </c>
    </row>
    <row r="172" spans="1:9">
      <c r="A172" t="s">
        <v>712</v>
      </c>
      <c r="B172">
        <v>329.95440000000002</v>
      </c>
      <c r="C172">
        <v>32.735300000000002</v>
      </c>
      <c r="D172">
        <v>39.510800000000003</v>
      </c>
      <c r="E172">
        <v>40.428400000000003</v>
      </c>
      <c r="F172">
        <v>47428.61</v>
      </c>
      <c r="G172">
        <v>147.72999999999999</v>
      </c>
      <c r="H172">
        <v>570.34</v>
      </c>
      <c r="I172">
        <v>0</v>
      </c>
    </row>
    <row r="173" spans="1:9">
      <c r="A173" t="s">
        <v>713</v>
      </c>
      <c r="B173">
        <v>5599.1264000000001</v>
      </c>
      <c r="C173">
        <v>38.936</v>
      </c>
      <c r="D173">
        <v>41.939799999999998</v>
      </c>
      <c r="E173">
        <v>43.241700000000002</v>
      </c>
      <c r="F173">
        <v>89267.39</v>
      </c>
      <c r="G173">
        <v>118.68</v>
      </c>
      <c r="H173">
        <v>571.12</v>
      </c>
      <c r="I173">
        <v>0</v>
      </c>
    </row>
    <row r="174" spans="1:9">
      <c r="A174" t="s">
        <v>714</v>
      </c>
      <c r="B174">
        <v>2488.9472000000001</v>
      </c>
      <c r="C174">
        <v>35.5122</v>
      </c>
      <c r="D174">
        <v>39.713500000000003</v>
      </c>
      <c r="E174">
        <v>40.872599999999998</v>
      </c>
      <c r="F174">
        <v>68719.02</v>
      </c>
      <c r="G174">
        <v>121.06</v>
      </c>
      <c r="H174">
        <v>569.72</v>
      </c>
      <c r="I174">
        <v>0</v>
      </c>
    </row>
    <row r="175" spans="1:9">
      <c r="A175" t="s">
        <v>715</v>
      </c>
      <c r="B175">
        <v>1195.4272000000001</v>
      </c>
      <c r="C175">
        <v>32.4621</v>
      </c>
      <c r="D175">
        <v>38.001100000000001</v>
      </c>
      <c r="E175">
        <v>38.986199999999997</v>
      </c>
      <c r="F175">
        <v>57918.04</v>
      </c>
      <c r="G175">
        <v>149.04</v>
      </c>
      <c r="H175">
        <v>570.42999999999995</v>
      </c>
      <c r="I175">
        <v>0</v>
      </c>
    </row>
    <row r="176" spans="1:9">
      <c r="A176" t="s">
        <v>716</v>
      </c>
      <c r="B176">
        <v>563.00160000000005</v>
      </c>
      <c r="C176">
        <v>29.593699999999998</v>
      </c>
      <c r="D176">
        <v>36.543300000000002</v>
      </c>
      <c r="E176">
        <v>37.325299999999999</v>
      </c>
      <c r="F176">
        <v>45979.32</v>
      </c>
      <c r="G176">
        <v>150.69999999999999</v>
      </c>
      <c r="H176">
        <v>570.64</v>
      </c>
      <c r="I176">
        <v>0</v>
      </c>
    </row>
    <row r="177" spans="1:9">
      <c r="A177" t="s">
        <v>717</v>
      </c>
      <c r="B177">
        <v>4178.4687999999996</v>
      </c>
      <c r="C177">
        <v>39.4741</v>
      </c>
      <c r="D177">
        <v>41.281999999999996</v>
      </c>
      <c r="E177">
        <v>42.918199999999999</v>
      </c>
      <c r="F177">
        <v>87231.86</v>
      </c>
      <c r="G177">
        <v>79.75</v>
      </c>
      <c r="H177">
        <v>567.14</v>
      </c>
      <c r="I177">
        <v>0</v>
      </c>
    </row>
    <row r="178" spans="1:9">
      <c r="A178" t="s">
        <v>718</v>
      </c>
      <c r="B178">
        <v>1626.9376</v>
      </c>
      <c r="C178">
        <v>36.109499999999997</v>
      </c>
      <c r="D178">
        <v>39.342599999999997</v>
      </c>
      <c r="E178">
        <v>41.057400000000001</v>
      </c>
      <c r="F178">
        <v>66468.789999999994</v>
      </c>
      <c r="G178">
        <v>69.319999999999993</v>
      </c>
      <c r="H178">
        <v>569</v>
      </c>
      <c r="I178">
        <v>0</v>
      </c>
    </row>
    <row r="179" spans="1:9">
      <c r="A179" t="s">
        <v>719</v>
      </c>
      <c r="B179">
        <v>774.38400000000001</v>
      </c>
      <c r="C179">
        <v>33.414000000000001</v>
      </c>
      <c r="D179">
        <v>37.785699999999999</v>
      </c>
      <c r="E179">
        <v>39.648800000000001</v>
      </c>
      <c r="F179">
        <v>54836.66</v>
      </c>
      <c r="G179">
        <v>65.489999999999995</v>
      </c>
      <c r="H179">
        <v>568.49</v>
      </c>
      <c r="I179">
        <v>0</v>
      </c>
    </row>
    <row r="180" spans="1:9">
      <c r="A180" t="s">
        <v>720</v>
      </c>
      <c r="B180">
        <v>371.7552</v>
      </c>
      <c r="C180">
        <v>30.744800000000001</v>
      </c>
      <c r="D180">
        <v>36.4163</v>
      </c>
      <c r="E180">
        <v>38.335099999999997</v>
      </c>
      <c r="F180">
        <v>42774.37</v>
      </c>
      <c r="G180">
        <v>64.430000000000007</v>
      </c>
      <c r="H180">
        <v>569.21</v>
      </c>
      <c r="I180">
        <v>0</v>
      </c>
    </row>
    <row r="181" spans="1:9">
      <c r="A181" t="s">
        <v>721</v>
      </c>
      <c r="B181">
        <v>1246.7896000000001</v>
      </c>
      <c r="C181">
        <v>41.479500000000002</v>
      </c>
      <c r="D181">
        <v>44.4054</v>
      </c>
      <c r="E181">
        <v>43.369399999999999</v>
      </c>
      <c r="F181">
        <v>27820.66</v>
      </c>
      <c r="G181">
        <v>41.16</v>
      </c>
      <c r="H181">
        <v>307.7</v>
      </c>
      <c r="I181">
        <v>0</v>
      </c>
    </row>
    <row r="182" spans="1:9">
      <c r="A182" t="s">
        <v>722</v>
      </c>
      <c r="B182">
        <v>591.79840000000002</v>
      </c>
      <c r="C182">
        <v>37.395899999999997</v>
      </c>
      <c r="D182">
        <v>42.090899999999998</v>
      </c>
      <c r="E182">
        <v>40.705300000000001</v>
      </c>
      <c r="F182">
        <v>22930.46</v>
      </c>
      <c r="G182">
        <v>43.11</v>
      </c>
      <c r="H182">
        <v>287.87</v>
      </c>
      <c r="I182">
        <v>0</v>
      </c>
    </row>
    <row r="183" spans="1:9">
      <c r="A183" t="s">
        <v>723</v>
      </c>
      <c r="B183">
        <v>296.428</v>
      </c>
      <c r="C183">
        <v>34.0625</v>
      </c>
      <c r="D183">
        <v>40.2819</v>
      </c>
      <c r="E183">
        <v>38.6601</v>
      </c>
      <c r="F183">
        <v>18968.62</v>
      </c>
      <c r="G183">
        <v>45.56</v>
      </c>
      <c r="H183">
        <v>308.37</v>
      </c>
      <c r="I183">
        <v>0</v>
      </c>
    </row>
    <row r="184" spans="1:9">
      <c r="A184" t="s">
        <v>724</v>
      </c>
      <c r="B184">
        <v>148.33600000000001</v>
      </c>
      <c r="C184">
        <v>31.115100000000002</v>
      </c>
      <c r="D184">
        <v>38.692900000000002</v>
      </c>
      <c r="E184">
        <v>36.844700000000003</v>
      </c>
      <c r="F184">
        <v>15128.61</v>
      </c>
      <c r="G184">
        <v>46.17</v>
      </c>
      <c r="H184">
        <v>301.77999999999997</v>
      </c>
      <c r="I184">
        <v>0</v>
      </c>
    </row>
    <row r="185" spans="1:9">
      <c r="A185" t="s">
        <v>725</v>
      </c>
      <c r="B185">
        <v>1280.6264000000001</v>
      </c>
      <c r="C185">
        <v>38.658700000000003</v>
      </c>
      <c r="D185">
        <v>43.959200000000003</v>
      </c>
      <c r="E185">
        <v>45.362499999999997</v>
      </c>
      <c r="F185">
        <v>20045.419999999998</v>
      </c>
      <c r="G185">
        <v>45.62</v>
      </c>
      <c r="H185">
        <v>288.19</v>
      </c>
      <c r="I185">
        <v>0</v>
      </c>
    </row>
    <row r="186" spans="1:9">
      <c r="A186" t="s">
        <v>726</v>
      </c>
      <c r="B186">
        <v>467.08240000000001</v>
      </c>
      <c r="C186">
        <v>35.457599999999999</v>
      </c>
      <c r="D186">
        <v>41.912500000000001</v>
      </c>
      <c r="E186">
        <v>43.158200000000001</v>
      </c>
      <c r="F186">
        <v>13410.1</v>
      </c>
      <c r="G186">
        <v>40.47</v>
      </c>
      <c r="H186">
        <v>287.97000000000003</v>
      </c>
      <c r="I186">
        <v>0</v>
      </c>
    </row>
    <row r="187" spans="1:9">
      <c r="A187" t="s">
        <v>727</v>
      </c>
      <c r="B187">
        <v>212.04480000000001</v>
      </c>
      <c r="C187">
        <v>32.7592</v>
      </c>
      <c r="D187">
        <v>40.255499999999998</v>
      </c>
      <c r="E187">
        <v>41.526600000000002</v>
      </c>
      <c r="F187">
        <v>9405.01</v>
      </c>
      <c r="G187">
        <v>39.270000000000003</v>
      </c>
      <c r="H187">
        <v>287.87</v>
      </c>
      <c r="I187">
        <v>0</v>
      </c>
    </row>
    <row r="188" spans="1:9">
      <c r="A188" t="s">
        <v>728</v>
      </c>
      <c r="B188">
        <v>110.468</v>
      </c>
      <c r="C188">
        <v>30.227699999999999</v>
      </c>
      <c r="D188">
        <v>39.091099999999997</v>
      </c>
      <c r="E188">
        <v>40.171300000000002</v>
      </c>
      <c r="F188">
        <v>7229.33</v>
      </c>
      <c r="G188">
        <v>41.97</v>
      </c>
      <c r="H188">
        <v>287.92</v>
      </c>
      <c r="I188">
        <v>0</v>
      </c>
    </row>
    <row r="189" spans="1:9">
      <c r="A189" t="s">
        <v>729</v>
      </c>
      <c r="B189">
        <v>1337.4712</v>
      </c>
      <c r="C189">
        <v>38.731200000000001</v>
      </c>
      <c r="D189">
        <v>41.6297</v>
      </c>
      <c r="E189">
        <v>42.871699999999997</v>
      </c>
      <c r="F189">
        <v>20883.34</v>
      </c>
      <c r="G189">
        <v>41.67</v>
      </c>
      <c r="H189">
        <v>302.35000000000002</v>
      </c>
      <c r="I189">
        <v>0</v>
      </c>
    </row>
    <row r="190" spans="1:9">
      <c r="A190" t="s">
        <v>730</v>
      </c>
      <c r="B190">
        <v>596.62480000000005</v>
      </c>
      <c r="C190">
        <v>35.418500000000002</v>
      </c>
      <c r="D190">
        <v>39.394199999999998</v>
      </c>
      <c r="E190">
        <v>40.420200000000001</v>
      </c>
      <c r="F190">
        <v>16488.830000000002</v>
      </c>
      <c r="G190">
        <v>45.96</v>
      </c>
      <c r="H190">
        <v>287.95999999999998</v>
      </c>
      <c r="I190">
        <v>0</v>
      </c>
    </row>
    <row r="191" spans="1:9">
      <c r="A191" t="s">
        <v>731</v>
      </c>
      <c r="B191">
        <v>286.64319999999998</v>
      </c>
      <c r="C191">
        <v>32.395200000000003</v>
      </c>
      <c r="D191">
        <v>37.560899999999997</v>
      </c>
      <c r="E191">
        <v>38.388800000000003</v>
      </c>
      <c r="F191">
        <v>13141.2</v>
      </c>
      <c r="G191">
        <v>52.19</v>
      </c>
      <c r="H191">
        <v>287.82</v>
      </c>
      <c r="I191">
        <v>0</v>
      </c>
    </row>
    <row r="192" spans="1:9">
      <c r="A192" t="s">
        <v>732</v>
      </c>
      <c r="B192">
        <v>134.10640000000001</v>
      </c>
      <c r="C192">
        <v>29.515000000000001</v>
      </c>
      <c r="D192">
        <v>35.972299999999997</v>
      </c>
      <c r="E192">
        <v>36.627899999999997</v>
      </c>
      <c r="F192">
        <v>10212.52</v>
      </c>
      <c r="G192">
        <v>53.94</v>
      </c>
      <c r="H192">
        <v>287.8</v>
      </c>
      <c r="I192">
        <v>0</v>
      </c>
    </row>
    <row r="193" spans="1:9">
      <c r="A193" t="s">
        <v>733</v>
      </c>
      <c r="B193" s="87">
        <v>1002.9312</v>
      </c>
      <c r="C193" s="87">
        <v>40.1387</v>
      </c>
      <c r="D193" s="87">
        <v>41.618899999999996</v>
      </c>
      <c r="E193" s="87">
        <v>42.750100000000003</v>
      </c>
      <c r="F193" s="87">
        <v>20731.75</v>
      </c>
      <c r="G193" s="87">
        <v>28.28</v>
      </c>
      <c r="H193">
        <v>306.12</v>
      </c>
      <c r="I193">
        <v>0</v>
      </c>
    </row>
    <row r="194" spans="1:9">
      <c r="A194" t="s">
        <v>734</v>
      </c>
      <c r="B194" s="87">
        <v>476.20080000000002</v>
      </c>
      <c r="C194" s="87">
        <v>36.221400000000003</v>
      </c>
      <c r="D194" s="87">
        <v>39.2789</v>
      </c>
      <c r="E194" s="87">
        <v>40.509</v>
      </c>
      <c r="F194" s="87">
        <v>16372.06</v>
      </c>
      <c r="G194" s="87">
        <v>27.73</v>
      </c>
      <c r="H194">
        <v>287.83999999999997</v>
      </c>
      <c r="I194">
        <v>0</v>
      </c>
    </row>
    <row r="195" spans="1:9">
      <c r="A195" t="s">
        <v>735</v>
      </c>
      <c r="B195" s="87">
        <v>236.39519999999999</v>
      </c>
      <c r="C195" s="87">
        <v>32.8874</v>
      </c>
      <c r="D195" s="87">
        <v>37.4846</v>
      </c>
      <c r="E195" s="87">
        <v>38.806800000000003</v>
      </c>
      <c r="F195" s="87">
        <v>13574.64</v>
      </c>
      <c r="G195" s="87">
        <v>28.43</v>
      </c>
      <c r="H195">
        <v>287.48</v>
      </c>
      <c r="I195">
        <v>0</v>
      </c>
    </row>
    <row r="196" spans="1:9">
      <c r="A196" t="s">
        <v>736</v>
      </c>
      <c r="B196" s="87">
        <v>114.16</v>
      </c>
      <c r="C196" s="87">
        <v>29.937200000000001</v>
      </c>
      <c r="D196" s="87">
        <v>35.994300000000003</v>
      </c>
      <c r="E196" s="87">
        <v>37.185099999999998</v>
      </c>
      <c r="F196" s="87">
        <v>10675.11</v>
      </c>
      <c r="G196" s="87">
        <v>28.64</v>
      </c>
      <c r="H196">
        <v>305.05</v>
      </c>
      <c r="I196">
        <v>0</v>
      </c>
    </row>
    <row r="197" spans="1:9">
      <c r="A197" t="s">
        <v>737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738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739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740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741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742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743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744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745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746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747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748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749</v>
      </c>
      <c r="B209" s="87">
        <v>2912.5264000000002</v>
      </c>
      <c r="C209" s="87">
        <v>41.6342</v>
      </c>
      <c r="D209" s="87">
        <v>43.531799999999997</v>
      </c>
      <c r="E209" s="87">
        <v>44.246400000000001</v>
      </c>
      <c r="F209" s="87">
        <v>84330.31</v>
      </c>
      <c r="G209" s="87">
        <v>84.45</v>
      </c>
      <c r="H209">
        <v>570.4</v>
      </c>
      <c r="I209">
        <v>0</v>
      </c>
    </row>
    <row r="210" spans="1:9">
      <c r="A210" t="s">
        <v>750</v>
      </c>
      <c r="B210" s="87">
        <v>1385.6656</v>
      </c>
      <c r="C210" s="87">
        <v>38.368299999999998</v>
      </c>
      <c r="D210" s="87">
        <v>41.280900000000003</v>
      </c>
      <c r="E210" s="87">
        <v>41.654600000000002</v>
      </c>
      <c r="F210" s="87">
        <v>71475.5</v>
      </c>
      <c r="G210" s="87">
        <v>86.09</v>
      </c>
      <c r="H210">
        <v>569.97</v>
      </c>
      <c r="I210">
        <v>0</v>
      </c>
    </row>
    <row r="211" spans="1:9">
      <c r="A211" t="s">
        <v>751</v>
      </c>
      <c r="B211" s="87">
        <v>708.33280000000002</v>
      </c>
      <c r="C211" s="87">
        <v>35.350499999999997</v>
      </c>
      <c r="D211" s="87">
        <v>39.363100000000003</v>
      </c>
      <c r="E211" s="87">
        <v>39.588900000000002</v>
      </c>
      <c r="F211" s="87">
        <v>58257.73</v>
      </c>
      <c r="G211" s="87">
        <v>96.55</v>
      </c>
      <c r="H211">
        <v>570</v>
      </c>
      <c r="I211">
        <v>0</v>
      </c>
    </row>
    <row r="212" spans="1:9">
      <c r="A212" t="s">
        <v>752</v>
      </c>
      <c r="B212" s="87">
        <v>368.14800000000002</v>
      </c>
      <c r="C212" s="87">
        <v>32.615600000000001</v>
      </c>
      <c r="D212" s="87">
        <v>37.685699999999997</v>
      </c>
      <c r="E212" s="87">
        <v>37.695599999999999</v>
      </c>
      <c r="F212" s="87">
        <v>48286.91</v>
      </c>
      <c r="G212" s="87">
        <v>107.26</v>
      </c>
      <c r="H212">
        <v>570.12</v>
      </c>
      <c r="I212">
        <v>0</v>
      </c>
    </row>
    <row r="213" spans="1:9">
      <c r="A213" t="s">
        <v>753</v>
      </c>
      <c r="B213" s="87">
        <v>4480.1947</v>
      </c>
      <c r="C213" s="87">
        <v>43.252099999999999</v>
      </c>
      <c r="D213" s="87">
        <v>46.566800000000001</v>
      </c>
      <c r="E213" s="87">
        <v>46.5047</v>
      </c>
      <c r="F213" s="87">
        <v>205248.08</v>
      </c>
      <c r="G213" s="87">
        <v>147.24</v>
      </c>
      <c r="H213">
        <v>840.27</v>
      </c>
      <c r="I213">
        <v>0</v>
      </c>
    </row>
    <row r="214" spans="1:9">
      <c r="A214" t="s">
        <v>754</v>
      </c>
      <c r="B214" s="87">
        <v>2216.5909999999999</v>
      </c>
      <c r="C214" s="87">
        <v>39.152299999999997</v>
      </c>
      <c r="D214" s="87">
        <v>44.269100000000002</v>
      </c>
      <c r="E214" s="87">
        <v>43.941800000000001</v>
      </c>
      <c r="F214" s="87">
        <v>162583.37</v>
      </c>
      <c r="G214" s="87">
        <v>153.65</v>
      </c>
      <c r="H214">
        <v>841.33</v>
      </c>
      <c r="I214">
        <v>0</v>
      </c>
    </row>
    <row r="215" spans="1:9">
      <c r="A215" t="s">
        <v>755</v>
      </c>
      <c r="B215" s="87">
        <v>1158.4181000000001</v>
      </c>
      <c r="C215" s="87">
        <v>35.713299999999997</v>
      </c>
      <c r="D215" s="87">
        <v>42.481299999999997</v>
      </c>
      <c r="E215" s="87">
        <v>41.881900000000002</v>
      </c>
      <c r="F215" s="87">
        <v>128097.04</v>
      </c>
      <c r="G215" s="87">
        <v>161.47</v>
      </c>
      <c r="H215">
        <v>840.09</v>
      </c>
      <c r="I215">
        <v>0</v>
      </c>
    </row>
    <row r="216" spans="1:9">
      <c r="A216" t="s">
        <v>756</v>
      </c>
      <c r="B216" s="87">
        <v>569.38940000000002</v>
      </c>
      <c r="C216" s="87">
        <v>32.519599999999997</v>
      </c>
      <c r="D216" s="87">
        <v>40.839799999999997</v>
      </c>
      <c r="E216" s="87">
        <v>39.7224</v>
      </c>
      <c r="F216" s="87">
        <v>103813.91</v>
      </c>
      <c r="G216" s="87">
        <v>171.39</v>
      </c>
      <c r="H216">
        <v>842.11</v>
      </c>
      <c r="I216">
        <v>0</v>
      </c>
    </row>
    <row r="217" spans="1:9">
      <c r="A217" t="s">
        <v>757</v>
      </c>
      <c r="B217" s="87">
        <v>1285.7128</v>
      </c>
      <c r="C217" s="87">
        <v>50.329000000000001</v>
      </c>
      <c r="D217" s="87">
        <v>48.119799999999998</v>
      </c>
      <c r="E217" s="87">
        <v>47.982700000000001</v>
      </c>
      <c r="F217" s="87">
        <v>22845.13</v>
      </c>
      <c r="G217" s="87">
        <v>25.39</v>
      </c>
      <c r="H217">
        <v>972.02</v>
      </c>
      <c r="I217">
        <v>0</v>
      </c>
    </row>
    <row r="218" spans="1:9">
      <c r="A218" t="s">
        <v>758</v>
      </c>
      <c r="B218" s="87">
        <v>981.86879999999996</v>
      </c>
      <c r="C218" s="87">
        <v>46.294699999999999</v>
      </c>
      <c r="D218" s="87">
        <v>43.904299999999999</v>
      </c>
      <c r="E218" s="87">
        <v>44.255099999999999</v>
      </c>
      <c r="F218" s="87">
        <v>21850.080000000002</v>
      </c>
      <c r="G218" s="87">
        <v>25.9</v>
      </c>
      <c r="H218">
        <v>974.78</v>
      </c>
      <c r="I218">
        <v>0</v>
      </c>
    </row>
    <row r="219" spans="1:9">
      <c r="A219" t="s">
        <v>759</v>
      </c>
      <c r="B219" s="87">
        <v>749.74559999999997</v>
      </c>
      <c r="C219" s="87">
        <v>41.8033</v>
      </c>
      <c r="D219" s="87">
        <v>40.829000000000001</v>
      </c>
      <c r="E219" s="87">
        <v>41.709400000000002</v>
      </c>
      <c r="F219" s="87">
        <v>20614.3</v>
      </c>
      <c r="G219" s="87">
        <v>26.65</v>
      </c>
      <c r="H219">
        <v>964.68</v>
      </c>
      <c r="I219">
        <v>0</v>
      </c>
    </row>
    <row r="220" spans="1:9">
      <c r="A220" t="s">
        <v>760</v>
      </c>
      <c r="B220" s="87">
        <v>565.33280000000002</v>
      </c>
      <c r="C220" s="87">
        <v>37.083599999999997</v>
      </c>
      <c r="D220" s="87">
        <v>39.017000000000003</v>
      </c>
      <c r="E220" s="87">
        <v>40.1432</v>
      </c>
      <c r="F220" s="87">
        <v>19873.39</v>
      </c>
      <c r="G220" s="87">
        <v>28.9</v>
      </c>
      <c r="H220">
        <v>962.98</v>
      </c>
      <c r="I220">
        <v>0</v>
      </c>
    </row>
    <row r="221" spans="1:9">
      <c r="A221" t="s">
        <v>761</v>
      </c>
      <c r="B221" s="87">
        <v>700.14589999999998</v>
      </c>
      <c r="C221" s="87">
        <v>52.244500000000002</v>
      </c>
      <c r="D221" s="87">
        <v>54.893500000000003</v>
      </c>
      <c r="E221" s="87">
        <v>55.875500000000002</v>
      </c>
      <c r="F221" s="87">
        <v>72723.8</v>
      </c>
      <c r="G221" s="87">
        <v>74.400000000000006</v>
      </c>
      <c r="H221">
        <v>754.89</v>
      </c>
      <c r="I221">
        <v>0</v>
      </c>
    </row>
    <row r="222" spans="1:9">
      <c r="A222" t="s">
        <v>762</v>
      </c>
      <c r="B222" s="87">
        <v>421.30020000000002</v>
      </c>
      <c r="C222" s="87">
        <v>48.379100000000001</v>
      </c>
      <c r="D222" s="87">
        <v>52.206400000000002</v>
      </c>
      <c r="E222" s="87">
        <v>53.2986</v>
      </c>
      <c r="F222" s="87">
        <v>63940.37</v>
      </c>
      <c r="G222" s="87">
        <v>76.59</v>
      </c>
      <c r="H222">
        <v>750.88</v>
      </c>
      <c r="I222">
        <v>0</v>
      </c>
    </row>
    <row r="223" spans="1:9">
      <c r="A223" t="s">
        <v>763</v>
      </c>
      <c r="B223" s="87">
        <v>269.59230000000002</v>
      </c>
      <c r="C223" s="87">
        <v>44.860999999999997</v>
      </c>
      <c r="D223" s="87">
        <v>49.8827</v>
      </c>
      <c r="E223" s="87">
        <v>51.277999999999999</v>
      </c>
      <c r="F223" s="87">
        <v>56650.76</v>
      </c>
      <c r="G223" s="87">
        <v>78.73</v>
      </c>
      <c r="H223">
        <v>752.29</v>
      </c>
      <c r="I223">
        <v>0</v>
      </c>
    </row>
    <row r="224" spans="1:9">
      <c r="A224" t="s">
        <v>764</v>
      </c>
      <c r="B224" s="87">
        <v>176.8115</v>
      </c>
      <c r="C224" s="87">
        <v>41.360900000000001</v>
      </c>
      <c r="D224" s="87">
        <v>47.606900000000003</v>
      </c>
      <c r="E224" s="87">
        <v>49.5137</v>
      </c>
      <c r="F224" s="87">
        <v>51122.559999999998</v>
      </c>
      <c r="G224" s="87">
        <v>79.11</v>
      </c>
      <c r="H224">
        <v>753.7</v>
      </c>
      <c r="I224">
        <v>0</v>
      </c>
    </row>
    <row r="225" spans="1:9">
      <c r="A225" t="s">
        <v>765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766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767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768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769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770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771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772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773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774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775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776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777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778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779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780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781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782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783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784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785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786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787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788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789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790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791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792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793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794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795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796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797</v>
      </c>
      <c r="B257" s="87">
        <v>4598.0328</v>
      </c>
      <c r="C257" s="87">
        <v>41.996299999999998</v>
      </c>
      <c r="D257" s="87">
        <v>43.581400000000002</v>
      </c>
      <c r="E257" s="87">
        <v>45.118499999999997</v>
      </c>
      <c r="F257" s="87">
        <v>133927.46</v>
      </c>
      <c r="G257" s="87">
        <v>130.44</v>
      </c>
      <c r="H257">
        <v>901.26</v>
      </c>
      <c r="I257">
        <v>0</v>
      </c>
    </row>
    <row r="258" spans="1:9">
      <c r="A258" t="s">
        <v>798</v>
      </c>
      <c r="B258" s="87">
        <v>2040.1615999999999</v>
      </c>
      <c r="C258" s="87">
        <v>39.9009</v>
      </c>
      <c r="D258" s="87">
        <v>41.972200000000001</v>
      </c>
      <c r="E258" s="87">
        <v>43.093600000000002</v>
      </c>
      <c r="F258" s="87">
        <v>97165.64</v>
      </c>
      <c r="G258" s="87">
        <v>115.51</v>
      </c>
      <c r="H258">
        <v>914.37</v>
      </c>
      <c r="I258">
        <v>0</v>
      </c>
    </row>
    <row r="259" spans="1:9">
      <c r="A259" t="s">
        <v>799</v>
      </c>
      <c r="B259" s="87">
        <v>1005.3751999999999</v>
      </c>
      <c r="C259" s="87">
        <v>37.436100000000003</v>
      </c>
      <c r="D259" s="87">
        <v>40.823599999999999</v>
      </c>
      <c r="E259" s="87">
        <v>41.854599999999998</v>
      </c>
      <c r="F259" s="87">
        <v>83617.97</v>
      </c>
      <c r="G259" s="87">
        <v>109.53</v>
      </c>
      <c r="H259">
        <v>915.7</v>
      </c>
      <c r="I259">
        <v>0</v>
      </c>
    </row>
    <row r="260" spans="1:9">
      <c r="A260" t="s">
        <v>800</v>
      </c>
      <c r="B260" s="87">
        <v>502.6712</v>
      </c>
      <c r="C260" s="87">
        <v>34.923099999999998</v>
      </c>
      <c r="D260" s="87">
        <v>39.9666</v>
      </c>
      <c r="E260" s="87">
        <v>41.111499999999999</v>
      </c>
      <c r="F260" s="87">
        <v>70361.03</v>
      </c>
      <c r="G260" s="87">
        <v>104.33</v>
      </c>
      <c r="H260">
        <v>918.15</v>
      </c>
      <c r="I260">
        <v>0</v>
      </c>
    </row>
    <row r="261" spans="1:9">
      <c r="A261" t="s">
        <v>801</v>
      </c>
      <c r="B261" s="87">
        <v>7337.1624000000002</v>
      </c>
      <c r="C261" s="87">
        <v>40.2318</v>
      </c>
      <c r="D261" s="87">
        <v>42.140999999999998</v>
      </c>
      <c r="E261" s="87">
        <v>43.3523</v>
      </c>
      <c r="F261" s="87">
        <v>106051.33</v>
      </c>
      <c r="G261" s="87">
        <v>132.16999999999999</v>
      </c>
      <c r="H261">
        <v>903.94</v>
      </c>
      <c r="I261">
        <v>0</v>
      </c>
    </row>
    <row r="262" spans="1:9">
      <c r="A262" t="s">
        <v>802</v>
      </c>
      <c r="B262" s="87">
        <v>2844.0151999999998</v>
      </c>
      <c r="C262" s="87">
        <v>37.249600000000001</v>
      </c>
      <c r="D262" s="87">
        <v>39.984499999999997</v>
      </c>
      <c r="E262" s="87">
        <v>41.034300000000002</v>
      </c>
      <c r="F262" s="87">
        <v>79934.27</v>
      </c>
      <c r="G262" s="87">
        <v>105.11</v>
      </c>
      <c r="H262">
        <v>906.03</v>
      </c>
      <c r="I262">
        <v>0</v>
      </c>
    </row>
    <row r="263" spans="1:9">
      <c r="A263" t="s">
        <v>803</v>
      </c>
      <c r="B263" s="87">
        <v>1216.5</v>
      </c>
      <c r="C263" s="87">
        <v>34.470399999999998</v>
      </c>
      <c r="D263" s="87">
        <v>38.441099999999999</v>
      </c>
      <c r="E263" s="87">
        <v>39.683700000000002</v>
      </c>
      <c r="F263" s="87">
        <v>67478.8</v>
      </c>
      <c r="G263" s="87">
        <v>97.03</v>
      </c>
      <c r="H263">
        <v>912.16</v>
      </c>
      <c r="I263">
        <v>0</v>
      </c>
    </row>
    <row r="264" spans="1:9">
      <c r="A264" t="s">
        <v>804</v>
      </c>
      <c r="B264" s="87">
        <v>524.88639999999998</v>
      </c>
      <c r="C264" s="87">
        <v>31.907900000000001</v>
      </c>
      <c r="D264" s="87">
        <v>37.372999999999998</v>
      </c>
      <c r="E264" s="87">
        <v>38.9373</v>
      </c>
      <c r="F264" s="87">
        <v>52583.05</v>
      </c>
      <c r="G264" s="87">
        <v>98.35</v>
      </c>
      <c r="H264">
        <v>902</v>
      </c>
      <c r="I264">
        <v>0</v>
      </c>
    </row>
    <row r="265" spans="1:9">
      <c r="A265" t="s">
        <v>805</v>
      </c>
      <c r="B265" s="87">
        <v>18362.0088</v>
      </c>
      <c r="C265" s="87">
        <v>38.952599999999997</v>
      </c>
      <c r="D265" s="87">
        <v>40.257399999999997</v>
      </c>
      <c r="E265" s="87">
        <v>43.684399999999997</v>
      </c>
      <c r="F265" s="87">
        <v>344111.76</v>
      </c>
      <c r="G265" s="87">
        <v>330.77</v>
      </c>
      <c r="H265">
        <v>891.82</v>
      </c>
      <c r="I265">
        <v>0</v>
      </c>
    </row>
    <row r="266" spans="1:9">
      <c r="A266" t="s">
        <v>806</v>
      </c>
      <c r="B266" s="87">
        <v>4624.0528000000004</v>
      </c>
      <c r="C266" s="87">
        <v>36.992899999999999</v>
      </c>
      <c r="D266" s="87">
        <v>39.139499999999998</v>
      </c>
      <c r="E266" s="87">
        <v>41.850999999999999</v>
      </c>
      <c r="F266" s="87">
        <v>212101.01</v>
      </c>
      <c r="G266" s="87">
        <v>240.02</v>
      </c>
      <c r="H266">
        <v>914.01</v>
      </c>
      <c r="I266">
        <v>0</v>
      </c>
    </row>
    <row r="267" spans="1:9">
      <c r="A267" t="s">
        <v>807</v>
      </c>
      <c r="B267" s="87">
        <v>2090.2975999999999</v>
      </c>
      <c r="C267" s="87">
        <v>34.968699999999998</v>
      </c>
      <c r="D267" s="87">
        <v>38.328400000000002</v>
      </c>
      <c r="E267" s="87">
        <v>40.385599999999997</v>
      </c>
      <c r="F267" s="87">
        <v>181091.86</v>
      </c>
      <c r="G267" s="87">
        <v>234.08</v>
      </c>
      <c r="H267">
        <v>889.67</v>
      </c>
      <c r="I267">
        <v>0</v>
      </c>
    </row>
    <row r="268" spans="1:9">
      <c r="A268" t="s">
        <v>808</v>
      </c>
      <c r="B268" s="87">
        <v>1038.1176</v>
      </c>
      <c r="C268" s="87">
        <v>32.779299999999999</v>
      </c>
      <c r="D268" s="87">
        <v>37.532400000000003</v>
      </c>
      <c r="E268" s="87">
        <v>39.071300000000001</v>
      </c>
      <c r="F268" s="87">
        <v>147146.63</v>
      </c>
      <c r="G268" s="87">
        <v>239.03</v>
      </c>
      <c r="H268">
        <v>916.62</v>
      </c>
      <c r="I268">
        <v>0</v>
      </c>
    </row>
    <row r="269" spans="1:9">
      <c r="A269" t="s">
        <v>809</v>
      </c>
      <c r="B269" s="87">
        <v>17618.867200000001</v>
      </c>
      <c r="C269" s="87">
        <v>39.697000000000003</v>
      </c>
      <c r="D269" s="87">
        <v>44.071300000000001</v>
      </c>
      <c r="E269" s="87">
        <v>45.485199999999999</v>
      </c>
      <c r="F269" s="87">
        <v>399355.6</v>
      </c>
      <c r="G269" s="87">
        <v>289.37</v>
      </c>
      <c r="H269">
        <v>923.06</v>
      </c>
      <c r="I269">
        <v>0</v>
      </c>
    </row>
    <row r="270" spans="1:9">
      <c r="A270" t="s">
        <v>810</v>
      </c>
      <c r="B270" s="87">
        <v>5608.6688000000004</v>
      </c>
      <c r="C270" s="87">
        <v>37.8142</v>
      </c>
      <c r="D270" s="87">
        <v>42.780500000000004</v>
      </c>
      <c r="E270" s="87">
        <v>43.448</v>
      </c>
      <c r="F270" s="87">
        <v>276271.67</v>
      </c>
      <c r="G270" s="87">
        <v>219.16</v>
      </c>
      <c r="H270">
        <v>907.22</v>
      </c>
      <c r="I270">
        <v>0</v>
      </c>
    </row>
    <row r="271" spans="1:9">
      <c r="A271" t="s">
        <v>811</v>
      </c>
      <c r="B271" s="87">
        <v>2661.9848000000002</v>
      </c>
      <c r="C271" s="87">
        <v>35.969299999999997</v>
      </c>
      <c r="D271" s="87">
        <v>41.715699999999998</v>
      </c>
      <c r="E271" s="87">
        <v>41.905500000000004</v>
      </c>
      <c r="F271" s="87">
        <v>216318.14</v>
      </c>
      <c r="G271" s="87">
        <v>204.88</v>
      </c>
      <c r="H271">
        <v>909.38</v>
      </c>
      <c r="I271">
        <v>0</v>
      </c>
    </row>
    <row r="272" spans="1:9">
      <c r="A272" t="s">
        <v>812</v>
      </c>
      <c r="B272" s="87">
        <v>1384.748</v>
      </c>
      <c r="C272" s="87">
        <v>33.997300000000003</v>
      </c>
      <c r="D272" s="87">
        <v>40.7742</v>
      </c>
      <c r="E272" s="87">
        <v>40.560600000000001</v>
      </c>
      <c r="F272" s="87">
        <v>180001.72</v>
      </c>
      <c r="G272" s="87">
        <v>195.04</v>
      </c>
      <c r="H272">
        <v>919.12</v>
      </c>
      <c r="I272">
        <v>0</v>
      </c>
    </row>
    <row r="273" spans="1:9">
      <c r="A273" t="s">
        <v>813</v>
      </c>
      <c r="B273" s="87">
        <v>50215.808799999999</v>
      </c>
      <c r="C273" s="87">
        <v>38.489699999999999</v>
      </c>
      <c r="D273" s="87">
        <v>42.162399999999998</v>
      </c>
      <c r="E273" s="87">
        <v>44.320999999999998</v>
      </c>
      <c r="F273" s="87">
        <v>400473.57</v>
      </c>
      <c r="G273" s="87">
        <v>463.67</v>
      </c>
      <c r="H273">
        <v>903.68</v>
      </c>
      <c r="I273">
        <v>0</v>
      </c>
    </row>
    <row r="274" spans="1:9">
      <c r="A274" t="s">
        <v>814</v>
      </c>
      <c r="B274" s="87">
        <v>6982.8216000000002</v>
      </c>
      <c r="C274" s="87">
        <v>35.630499999999998</v>
      </c>
      <c r="D274" s="87">
        <v>40.763599999999997</v>
      </c>
      <c r="E274" s="87">
        <v>43.191600000000001</v>
      </c>
      <c r="F274" s="87">
        <v>187961.42</v>
      </c>
      <c r="G274" s="87">
        <v>249.71</v>
      </c>
      <c r="H274">
        <v>912.99</v>
      </c>
      <c r="I274">
        <v>0</v>
      </c>
    </row>
    <row r="275" spans="1:9">
      <c r="A275" t="s">
        <v>815</v>
      </c>
      <c r="B275" s="87">
        <v>1755.2968000000001</v>
      </c>
      <c r="C275" s="87">
        <v>33.8767</v>
      </c>
      <c r="D275" s="87">
        <v>39.664900000000003</v>
      </c>
      <c r="E275" s="87">
        <v>42.307899999999997</v>
      </c>
      <c r="F275" s="87">
        <v>132844.13</v>
      </c>
      <c r="G275" s="87">
        <v>188.7</v>
      </c>
      <c r="H275">
        <v>891</v>
      </c>
      <c r="I275">
        <v>0</v>
      </c>
    </row>
    <row r="276" spans="1:9">
      <c r="A276" t="s">
        <v>816</v>
      </c>
      <c r="B276" s="87">
        <v>680.60320000000002</v>
      </c>
      <c r="C276" s="87">
        <v>31.8901</v>
      </c>
      <c r="D276" s="87">
        <v>38.76</v>
      </c>
      <c r="E276" s="87">
        <v>41.588000000000001</v>
      </c>
      <c r="F276" s="87">
        <v>96680.320000000007</v>
      </c>
      <c r="G276" s="87">
        <v>156.44999999999999</v>
      </c>
      <c r="H276">
        <v>888.92</v>
      </c>
      <c r="I276">
        <v>0</v>
      </c>
    </row>
    <row r="277" spans="1:9">
      <c r="A277" t="s">
        <v>817</v>
      </c>
      <c r="B277" s="87">
        <v>3081.1864</v>
      </c>
      <c r="C277" s="87">
        <v>40.768500000000003</v>
      </c>
      <c r="D277" s="87">
        <v>43.3215</v>
      </c>
      <c r="E277" s="87">
        <v>44.046199999999999</v>
      </c>
      <c r="F277" s="87">
        <v>77655.69</v>
      </c>
      <c r="G277" s="87">
        <v>69.650000000000006</v>
      </c>
      <c r="H277">
        <v>322.52</v>
      </c>
      <c r="I277">
        <v>0</v>
      </c>
    </row>
    <row r="278" spans="1:9">
      <c r="A278" t="s">
        <v>818</v>
      </c>
      <c r="B278" s="87">
        <v>1418.0712000000001</v>
      </c>
      <c r="C278" s="87">
        <v>37.500100000000003</v>
      </c>
      <c r="D278" s="87">
        <v>40.900399999999998</v>
      </c>
      <c r="E278" s="87">
        <v>41.351500000000001</v>
      </c>
      <c r="F278" s="87">
        <v>69937.19</v>
      </c>
      <c r="G278" s="87">
        <v>65.099999999999994</v>
      </c>
      <c r="H278">
        <v>304.31</v>
      </c>
      <c r="I278">
        <v>0</v>
      </c>
    </row>
    <row r="279" spans="1:9">
      <c r="A279" t="s">
        <v>819</v>
      </c>
      <c r="B279" s="87">
        <v>703.21360000000004</v>
      </c>
      <c r="C279" s="87">
        <v>34.699399999999997</v>
      </c>
      <c r="D279" s="87">
        <v>39.0319</v>
      </c>
      <c r="E279" s="87">
        <v>39.485199999999999</v>
      </c>
      <c r="F279" s="87">
        <v>59305.19</v>
      </c>
      <c r="G279" s="87">
        <v>62.41</v>
      </c>
      <c r="H279">
        <v>321.70999999999998</v>
      </c>
      <c r="I279">
        <v>0</v>
      </c>
    </row>
    <row r="280" spans="1:9">
      <c r="A280" t="s">
        <v>820</v>
      </c>
      <c r="B280" s="87">
        <v>369.88479999999998</v>
      </c>
      <c r="C280" s="87">
        <v>32.324800000000003</v>
      </c>
      <c r="D280" s="87">
        <v>37.607900000000001</v>
      </c>
      <c r="E280" s="87">
        <v>37.8446</v>
      </c>
      <c r="F280" s="87">
        <v>48800.18</v>
      </c>
      <c r="G280" s="87">
        <v>59.42</v>
      </c>
      <c r="H280">
        <v>317.35000000000002</v>
      </c>
      <c r="I280">
        <v>0</v>
      </c>
    </row>
    <row r="281" spans="1:9">
      <c r="A281" t="s">
        <v>821</v>
      </c>
      <c r="B281" s="87">
        <v>3600.4584</v>
      </c>
      <c r="C281" s="87">
        <v>40.552799999999998</v>
      </c>
      <c r="D281" s="87">
        <v>43.484299999999998</v>
      </c>
      <c r="E281" s="87">
        <v>44.985999999999997</v>
      </c>
      <c r="F281" s="87">
        <v>90603.99</v>
      </c>
      <c r="G281" s="87">
        <v>113.05</v>
      </c>
      <c r="H281">
        <v>321.66000000000003</v>
      </c>
      <c r="I281">
        <v>0</v>
      </c>
    </row>
    <row r="282" spans="1:9">
      <c r="A282" t="s">
        <v>822</v>
      </c>
      <c r="B282" s="87">
        <v>1568.2840000000001</v>
      </c>
      <c r="C282" s="87">
        <v>37.662599999999998</v>
      </c>
      <c r="D282" s="87">
        <v>41.406700000000001</v>
      </c>
      <c r="E282" s="87">
        <v>42.587499999999999</v>
      </c>
      <c r="F282" s="87">
        <v>75835.679999999993</v>
      </c>
      <c r="G282" s="87">
        <v>104.49</v>
      </c>
      <c r="H282">
        <v>322.14999999999998</v>
      </c>
      <c r="I282">
        <v>0</v>
      </c>
    </row>
    <row r="283" spans="1:9">
      <c r="A283" t="s">
        <v>823</v>
      </c>
      <c r="B283" s="87">
        <v>769.87440000000004</v>
      </c>
      <c r="C283" s="87">
        <v>34.741199999999999</v>
      </c>
      <c r="D283" s="87">
        <v>39.755699999999997</v>
      </c>
      <c r="E283" s="87">
        <v>40.779000000000003</v>
      </c>
      <c r="F283" s="87">
        <v>62954.74</v>
      </c>
      <c r="G283" s="87">
        <v>102.31</v>
      </c>
      <c r="H283">
        <v>315.67</v>
      </c>
      <c r="I283">
        <v>0</v>
      </c>
    </row>
    <row r="284" spans="1:9">
      <c r="A284" t="s">
        <v>824</v>
      </c>
      <c r="B284" s="87">
        <v>392.4864</v>
      </c>
      <c r="C284" s="87">
        <v>31.902999999999999</v>
      </c>
      <c r="D284" s="87">
        <v>38.5169</v>
      </c>
      <c r="E284" s="87">
        <v>39.399000000000001</v>
      </c>
      <c r="F284" s="87">
        <v>58937.88</v>
      </c>
      <c r="G284" s="87">
        <v>98.44</v>
      </c>
      <c r="H284">
        <v>301.06</v>
      </c>
      <c r="I284">
        <v>0</v>
      </c>
    </row>
    <row r="285" spans="1:9">
      <c r="A285" t="s">
        <v>825</v>
      </c>
      <c r="B285" s="87">
        <v>7006.3288000000002</v>
      </c>
      <c r="C285" s="87">
        <v>38.827300000000001</v>
      </c>
      <c r="D285" s="87">
        <v>41.393099999999997</v>
      </c>
      <c r="E285" s="87">
        <v>42.386600000000001</v>
      </c>
      <c r="F285" s="87">
        <v>94046.87</v>
      </c>
      <c r="G285" s="87">
        <v>122.36</v>
      </c>
      <c r="H285">
        <v>323.38</v>
      </c>
      <c r="I285">
        <v>0</v>
      </c>
    </row>
    <row r="286" spans="1:9">
      <c r="A286" t="s">
        <v>826</v>
      </c>
      <c r="B286" s="87">
        <v>2887.7768000000001</v>
      </c>
      <c r="C286" s="87">
        <v>34.8857</v>
      </c>
      <c r="D286" s="87">
        <v>38.605499999999999</v>
      </c>
      <c r="E286" s="87">
        <v>39.472999999999999</v>
      </c>
      <c r="F286" s="87">
        <v>68647.37</v>
      </c>
      <c r="G286" s="87">
        <v>105.99</v>
      </c>
      <c r="H286">
        <v>300.68</v>
      </c>
      <c r="I286">
        <v>0</v>
      </c>
    </row>
    <row r="287" spans="1:9">
      <c r="A287" t="s">
        <v>827</v>
      </c>
      <c r="B287" s="87">
        <v>1284.396</v>
      </c>
      <c r="C287" s="87">
        <v>31.4222</v>
      </c>
      <c r="D287" s="87">
        <v>36.743600000000001</v>
      </c>
      <c r="E287" s="87">
        <v>37.564900000000002</v>
      </c>
      <c r="F287" s="87">
        <v>55865.120000000003</v>
      </c>
      <c r="G287" s="87">
        <v>106.33</v>
      </c>
      <c r="H287">
        <v>320.63</v>
      </c>
      <c r="I287">
        <v>0</v>
      </c>
    </row>
    <row r="288" spans="1:9">
      <c r="A288" t="s">
        <v>828</v>
      </c>
      <c r="B288" s="87">
        <v>558.94560000000001</v>
      </c>
      <c r="C288" s="87">
        <v>28.224299999999999</v>
      </c>
      <c r="D288" s="87">
        <v>35.379100000000001</v>
      </c>
      <c r="E288" s="87">
        <v>36.194499999999998</v>
      </c>
      <c r="F288" s="87">
        <v>47370.400000000001</v>
      </c>
      <c r="G288" s="87">
        <v>105.86</v>
      </c>
      <c r="H288">
        <v>320.43</v>
      </c>
      <c r="I288">
        <v>0</v>
      </c>
    </row>
    <row r="289" spans="1:9">
      <c r="A289" t="s">
        <v>829</v>
      </c>
      <c r="B289">
        <v>5078.6855999999998</v>
      </c>
      <c r="C289">
        <v>40.234099999999998</v>
      </c>
      <c r="D289">
        <v>41.564100000000003</v>
      </c>
      <c r="E289">
        <v>43.019100000000002</v>
      </c>
      <c r="F289">
        <v>75924.990000000005</v>
      </c>
      <c r="G289">
        <v>63.85</v>
      </c>
      <c r="H289">
        <v>322.27999999999997</v>
      </c>
      <c r="I289">
        <v>0</v>
      </c>
    </row>
    <row r="290" spans="1:9">
      <c r="A290" t="s">
        <v>830</v>
      </c>
      <c r="B290">
        <v>1949.1112000000001</v>
      </c>
      <c r="C290">
        <v>36.506399999999999</v>
      </c>
      <c r="D290">
        <v>38.9773</v>
      </c>
      <c r="E290">
        <v>40.677</v>
      </c>
      <c r="F290">
        <v>55897.26</v>
      </c>
      <c r="G290">
        <v>53.47</v>
      </c>
      <c r="H290">
        <v>323.02</v>
      </c>
      <c r="I290">
        <v>0</v>
      </c>
    </row>
    <row r="291" spans="1:9">
      <c r="A291" t="s">
        <v>831</v>
      </c>
      <c r="B291">
        <v>888.23199999999997</v>
      </c>
      <c r="C291">
        <v>33.453200000000002</v>
      </c>
      <c r="D291">
        <v>37.319099999999999</v>
      </c>
      <c r="E291">
        <v>39.182000000000002</v>
      </c>
      <c r="F291">
        <v>50552.91</v>
      </c>
      <c r="G291">
        <v>46.15</v>
      </c>
      <c r="H291">
        <v>313.61</v>
      </c>
      <c r="I291">
        <v>0</v>
      </c>
    </row>
    <row r="292" spans="1:9">
      <c r="A292" t="s">
        <v>832</v>
      </c>
      <c r="B292">
        <v>410.18400000000003</v>
      </c>
      <c r="C292">
        <v>30.6373</v>
      </c>
      <c r="D292">
        <v>36.131500000000003</v>
      </c>
      <c r="E292">
        <v>37.980699999999999</v>
      </c>
      <c r="F292">
        <v>39428.14</v>
      </c>
      <c r="G292">
        <v>43.14</v>
      </c>
      <c r="H292">
        <v>321.92</v>
      </c>
      <c r="I292">
        <v>0</v>
      </c>
    </row>
    <row r="293" spans="1:9">
      <c r="A293" t="s">
        <v>833</v>
      </c>
      <c r="B293">
        <v>1486.2624000000001</v>
      </c>
      <c r="C293">
        <v>41.469200000000001</v>
      </c>
      <c r="D293">
        <v>44.255699999999997</v>
      </c>
      <c r="E293">
        <v>43.5351</v>
      </c>
      <c r="F293">
        <v>24187.5</v>
      </c>
      <c r="G293">
        <v>33.92</v>
      </c>
      <c r="H293">
        <v>200.47</v>
      </c>
      <c r="I293">
        <v>0</v>
      </c>
    </row>
    <row r="294" spans="1:9">
      <c r="A294" t="s">
        <v>834</v>
      </c>
      <c r="B294">
        <v>719.15039999999999</v>
      </c>
      <c r="C294">
        <v>37.393500000000003</v>
      </c>
      <c r="D294">
        <v>41.523400000000002</v>
      </c>
      <c r="E294">
        <v>40.403399999999998</v>
      </c>
      <c r="F294">
        <v>19750.71</v>
      </c>
      <c r="G294">
        <v>32.869999999999997</v>
      </c>
      <c r="H294">
        <v>199.15</v>
      </c>
      <c r="I294">
        <v>0</v>
      </c>
    </row>
    <row r="295" spans="1:9">
      <c r="A295" t="s">
        <v>835</v>
      </c>
      <c r="B295">
        <v>363.22640000000001</v>
      </c>
      <c r="C295">
        <v>33.962699999999998</v>
      </c>
      <c r="D295">
        <v>39.662300000000002</v>
      </c>
      <c r="E295">
        <v>38.392099999999999</v>
      </c>
      <c r="F295">
        <v>17392.98</v>
      </c>
      <c r="G295">
        <v>31.58</v>
      </c>
      <c r="H295">
        <v>200.43</v>
      </c>
      <c r="I295">
        <v>0</v>
      </c>
    </row>
    <row r="296" spans="1:9">
      <c r="A296" t="s">
        <v>836</v>
      </c>
      <c r="B296">
        <v>187.8168</v>
      </c>
      <c r="C296">
        <v>31.087</v>
      </c>
      <c r="D296">
        <v>38.195900000000002</v>
      </c>
      <c r="E296">
        <v>36.713000000000001</v>
      </c>
      <c r="F296">
        <v>15380.36</v>
      </c>
      <c r="G296">
        <v>31.77</v>
      </c>
      <c r="H296">
        <v>179.73</v>
      </c>
      <c r="I296">
        <v>0</v>
      </c>
    </row>
    <row r="297" spans="1:9">
      <c r="A297" t="s">
        <v>837</v>
      </c>
      <c r="B297">
        <v>1881.4680000000001</v>
      </c>
      <c r="C297">
        <v>38.8386</v>
      </c>
      <c r="D297">
        <v>42.874299999999998</v>
      </c>
      <c r="E297">
        <v>43.998899999999999</v>
      </c>
      <c r="F297">
        <v>19966.37</v>
      </c>
      <c r="G297">
        <v>46.52</v>
      </c>
      <c r="H297">
        <v>192.98</v>
      </c>
      <c r="I297">
        <v>0</v>
      </c>
    </row>
    <row r="298" spans="1:9">
      <c r="A298" t="s">
        <v>838</v>
      </c>
      <c r="B298">
        <v>633.06719999999996</v>
      </c>
      <c r="C298">
        <v>35.066600000000001</v>
      </c>
      <c r="D298">
        <v>40.797699999999999</v>
      </c>
      <c r="E298">
        <v>41.848799999999997</v>
      </c>
      <c r="F298">
        <v>14778.15</v>
      </c>
      <c r="G298">
        <v>44.97</v>
      </c>
      <c r="H298">
        <v>185.44</v>
      </c>
      <c r="I298">
        <v>0</v>
      </c>
    </row>
    <row r="299" spans="1:9">
      <c r="A299" t="s">
        <v>839</v>
      </c>
      <c r="B299">
        <v>241.26079999999999</v>
      </c>
      <c r="C299">
        <v>31.878499999999999</v>
      </c>
      <c r="D299">
        <v>39.375999999999998</v>
      </c>
      <c r="E299">
        <v>40.305900000000001</v>
      </c>
      <c r="F299">
        <v>10469.18</v>
      </c>
      <c r="G299">
        <v>42.17</v>
      </c>
      <c r="H299">
        <v>200.54</v>
      </c>
      <c r="I299">
        <v>0</v>
      </c>
    </row>
    <row r="300" spans="1:9">
      <c r="A300" t="s">
        <v>840</v>
      </c>
      <c r="B300">
        <v>98.630399999999995</v>
      </c>
      <c r="C300">
        <v>28.943000000000001</v>
      </c>
      <c r="D300">
        <v>38.4572</v>
      </c>
      <c r="E300">
        <v>39.372500000000002</v>
      </c>
      <c r="F300">
        <v>7706.58</v>
      </c>
      <c r="G300">
        <v>40.76</v>
      </c>
      <c r="H300">
        <v>200.16</v>
      </c>
      <c r="I300">
        <v>0</v>
      </c>
    </row>
    <row r="301" spans="1:9">
      <c r="A301" t="s">
        <v>841</v>
      </c>
      <c r="B301">
        <v>1701.0808</v>
      </c>
      <c r="C301">
        <v>38.523200000000003</v>
      </c>
      <c r="D301">
        <v>41.036999999999999</v>
      </c>
      <c r="E301">
        <v>41.854399999999998</v>
      </c>
      <c r="F301">
        <v>22689.15</v>
      </c>
      <c r="G301">
        <v>39.81</v>
      </c>
      <c r="H301">
        <v>186.46</v>
      </c>
      <c r="I301">
        <v>0</v>
      </c>
    </row>
    <row r="302" spans="1:9">
      <c r="A302" t="s">
        <v>842</v>
      </c>
      <c r="B302">
        <v>698.71199999999999</v>
      </c>
      <c r="C302">
        <v>34.665700000000001</v>
      </c>
      <c r="D302">
        <v>38.301699999999997</v>
      </c>
      <c r="E302">
        <v>38.985700000000001</v>
      </c>
      <c r="F302">
        <v>17231.61</v>
      </c>
      <c r="G302">
        <v>38.17</v>
      </c>
      <c r="H302">
        <v>197.88</v>
      </c>
      <c r="I302">
        <v>0</v>
      </c>
    </row>
    <row r="303" spans="1:9">
      <c r="A303" t="s">
        <v>843</v>
      </c>
      <c r="B303">
        <v>305.36399999999998</v>
      </c>
      <c r="C303">
        <v>31.221599999999999</v>
      </c>
      <c r="D303">
        <v>36.334200000000003</v>
      </c>
      <c r="E303">
        <v>36.994300000000003</v>
      </c>
      <c r="F303">
        <v>13815.01</v>
      </c>
      <c r="G303">
        <v>38.6</v>
      </c>
      <c r="H303">
        <v>198.8</v>
      </c>
      <c r="I303">
        <v>0</v>
      </c>
    </row>
    <row r="304" spans="1:9">
      <c r="A304" t="s">
        <v>844</v>
      </c>
      <c r="B304">
        <v>132.84639999999999</v>
      </c>
      <c r="C304">
        <v>28.211500000000001</v>
      </c>
      <c r="D304">
        <v>34.902900000000002</v>
      </c>
      <c r="E304">
        <v>35.589399999999998</v>
      </c>
      <c r="F304">
        <v>10754.51</v>
      </c>
      <c r="G304">
        <v>36.96</v>
      </c>
      <c r="H304">
        <v>179.55</v>
      </c>
      <c r="I304">
        <v>0</v>
      </c>
    </row>
    <row r="305" spans="1:9">
      <c r="A305" t="s">
        <v>845</v>
      </c>
      <c r="B305">
        <v>1167.144</v>
      </c>
      <c r="C305">
        <v>40.4679</v>
      </c>
      <c r="D305">
        <v>41.451500000000003</v>
      </c>
      <c r="E305">
        <v>42.578899999999997</v>
      </c>
      <c r="F305">
        <v>18447.8</v>
      </c>
      <c r="G305">
        <v>22.78</v>
      </c>
      <c r="H305">
        <v>180.53</v>
      </c>
      <c r="I305">
        <v>0</v>
      </c>
    </row>
    <row r="306" spans="1:9">
      <c r="A306" t="s">
        <v>846</v>
      </c>
      <c r="B306">
        <v>543.73599999999999</v>
      </c>
      <c r="C306">
        <v>36.228000000000002</v>
      </c>
      <c r="D306">
        <v>38.643000000000001</v>
      </c>
      <c r="E306">
        <v>39.884900000000002</v>
      </c>
      <c r="F306">
        <v>14616.36</v>
      </c>
      <c r="G306">
        <v>21.09</v>
      </c>
      <c r="H306">
        <v>189.67</v>
      </c>
      <c r="I306">
        <v>0</v>
      </c>
    </row>
    <row r="307" spans="1:9">
      <c r="A307" t="s">
        <v>847</v>
      </c>
      <c r="B307">
        <v>264.77760000000001</v>
      </c>
      <c r="C307">
        <v>32.633000000000003</v>
      </c>
      <c r="D307">
        <v>36.962899999999998</v>
      </c>
      <c r="E307">
        <v>38.1434</v>
      </c>
      <c r="F307">
        <v>12307.22</v>
      </c>
      <c r="G307">
        <v>20.28</v>
      </c>
      <c r="H307">
        <v>198.38</v>
      </c>
      <c r="I307">
        <v>0</v>
      </c>
    </row>
    <row r="308" spans="1:9">
      <c r="A308" t="s">
        <v>848</v>
      </c>
      <c r="B308">
        <v>129.32</v>
      </c>
      <c r="C308">
        <v>29.767299999999999</v>
      </c>
      <c r="D308">
        <v>35.583399999999997</v>
      </c>
      <c r="E308">
        <v>36.655500000000004</v>
      </c>
      <c r="F308">
        <v>10366.01</v>
      </c>
      <c r="G308">
        <v>18.62</v>
      </c>
      <c r="H308">
        <v>198.68</v>
      </c>
      <c r="I308">
        <v>0</v>
      </c>
    </row>
    <row r="309" spans="1:9">
      <c r="A309" t="s">
        <v>849</v>
      </c>
      <c r="B309">
        <v>1975.7872</v>
      </c>
      <c r="C309">
        <v>43.046599999999998</v>
      </c>
      <c r="D309">
        <v>46.844999999999999</v>
      </c>
      <c r="E309">
        <v>48.264099999999999</v>
      </c>
      <c r="F309">
        <v>77873.03</v>
      </c>
      <c r="G309">
        <v>148.03</v>
      </c>
      <c r="H309">
        <v>505.48</v>
      </c>
      <c r="I309">
        <v>0</v>
      </c>
    </row>
    <row r="310" spans="1:9">
      <c r="A310" t="s">
        <v>850</v>
      </c>
      <c r="B310">
        <v>727.83119999999997</v>
      </c>
      <c r="C310">
        <v>40.778100000000002</v>
      </c>
      <c r="D310">
        <v>45.002200000000002</v>
      </c>
      <c r="E310">
        <v>46.3581</v>
      </c>
      <c r="F310">
        <v>57031.92</v>
      </c>
      <c r="G310">
        <v>122.8</v>
      </c>
      <c r="H310">
        <v>511.89</v>
      </c>
      <c r="I310">
        <v>0</v>
      </c>
    </row>
    <row r="311" spans="1:9">
      <c r="A311" t="s">
        <v>851</v>
      </c>
      <c r="B311">
        <v>359.6216</v>
      </c>
      <c r="C311">
        <v>38.218499999999999</v>
      </c>
      <c r="D311">
        <v>43.391199999999998</v>
      </c>
      <c r="E311">
        <v>44.762500000000003</v>
      </c>
      <c r="F311">
        <v>46188.49</v>
      </c>
      <c r="G311">
        <v>113.92</v>
      </c>
      <c r="H311">
        <v>499.29</v>
      </c>
      <c r="I311">
        <v>0</v>
      </c>
    </row>
    <row r="312" spans="1:9">
      <c r="A312" t="s">
        <v>852</v>
      </c>
      <c r="B312">
        <v>190.0504</v>
      </c>
      <c r="C312">
        <v>35.385399999999997</v>
      </c>
      <c r="D312">
        <v>42.198599999999999</v>
      </c>
      <c r="E312">
        <v>43.406999999999996</v>
      </c>
      <c r="F312">
        <v>40723.64</v>
      </c>
      <c r="G312">
        <v>101.71</v>
      </c>
      <c r="H312">
        <v>508.81</v>
      </c>
      <c r="I312">
        <v>0</v>
      </c>
    </row>
    <row r="313" spans="1:9">
      <c r="A313" t="s">
        <v>853</v>
      </c>
      <c r="B313">
        <v>1384.2439999999999</v>
      </c>
      <c r="C313">
        <v>43.338099999999997</v>
      </c>
      <c r="D313">
        <v>48.482500000000002</v>
      </c>
      <c r="E313">
        <v>49.134700000000002</v>
      </c>
      <c r="F313">
        <v>67115.03</v>
      </c>
      <c r="G313">
        <v>112</v>
      </c>
      <c r="H313">
        <v>508.98</v>
      </c>
      <c r="I313">
        <v>0</v>
      </c>
    </row>
    <row r="314" spans="1:9">
      <c r="A314" t="s">
        <v>854</v>
      </c>
      <c r="B314">
        <v>344.96159999999998</v>
      </c>
      <c r="C314">
        <v>41.595100000000002</v>
      </c>
      <c r="D314">
        <v>47.084600000000002</v>
      </c>
      <c r="E314">
        <v>47.676200000000001</v>
      </c>
      <c r="F314">
        <v>46193.3</v>
      </c>
      <c r="G314">
        <v>97.13</v>
      </c>
      <c r="H314">
        <v>510.17</v>
      </c>
      <c r="I314">
        <v>0</v>
      </c>
    </row>
    <row r="315" spans="1:9">
      <c r="A315" t="s">
        <v>855</v>
      </c>
      <c r="B315">
        <v>150.8648</v>
      </c>
      <c r="C315">
        <v>39.614600000000003</v>
      </c>
      <c r="D315">
        <v>45.627499999999998</v>
      </c>
      <c r="E315">
        <v>46.332099999999997</v>
      </c>
      <c r="F315">
        <v>36764.76</v>
      </c>
      <c r="G315">
        <v>89.29</v>
      </c>
      <c r="H315">
        <v>511.7</v>
      </c>
      <c r="I315">
        <v>0</v>
      </c>
    </row>
    <row r="316" spans="1:9">
      <c r="A316" t="s">
        <v>856</v>
      </c>
      <c r="B316">
        <v>80.115200000000002</v>
      </c>
      <c r="C316">
        <v>37.327100000000002</v>
      </c>
      <c r="D316">
        <v>44.290700000000001</v>
      </c>
      <c r="E316">
        <v>45.083799999999997</v>
      </c>
      <c r="F316">
        <v>30730</v>
      </c>
      <c r="G316">
        <v>83.65</v>
      </c>
      <c r="H316">
        <v>509.7</v>
      </c>
      <c r="I316">
        <v>0</v>
      </c>
    </row>
    <row r="317" spans="1:9">
      <c r="A317" t="s">
        <v>857</v>
      </c>
      <c r="B317">
        <v>1792.7783999999999</v>
      </c>
      <c r="C317">
        <v>43.676699999999997</v>
      </c>
      <c r="D317">
        <v>47.758699999999997</v>
      </c>
      <c r="E317">
        <v>48.7121</v>
      </c>
      <c r="F317">
        <v>90394.33</v>
      </c>
      <c r="G317">
        <v>131.83000000000001</v>
      </c>
      <c r="H317">
        <v>505</v>
      </c>
      <c r="I317">
        <v>0</v>
      </c>
    </row>
    <row r="318" spans="1:9">
      <c r="A318" t="s">
        <v>858</v>
      </c>
      <c r="B318">
        <v>587.55999999999995</v>
      </c>
      <c r="C318">
        <v>41.631700000000002</v>
      </c>
      <c r="D318">
        <v>45.985399999999998</v>
      </c>
      <c r="E318">
        <v>47.003500000000003</v>
      </c>
      <c r="F318">
        <v>60661.21</v>
      </c>
      <c r="G318">
        <v>115.29</v>
      </c>
      <c r="H318">
        <v>509.21</v>
      </c>
      <c r="I318">
        <v>0</v>
      </c>
    </row>
    <row r="319" spans="1:9">
      <c r="A319" t="s">
        <v>859</v>
      </c>
      <c r="B319">
        <v>258.47199999999998</v>
      </c>
      <c r="C319">
        <v>39.376100000000001</v>
      </c>
      <c r="D319">
        <v>44.384</v>
      </c>
      <c r="E319">
        <v>45.491700000000002</v>
      </c>
      <c r="F319">
        <v>51917.56</v>
      </c>
      <c r="G319">
        <v>123.4</v>
      </c>
      <c r="H319">
        <v>512.03</v>
      </c>
      <c r="I319">
        <v>0</v>
      </c>
    </row>
    <row r="320" spans="1:9">
      <c r="A320" t="s">
        <v>860</v>
      </c>
      <c r="B320">
        <v>132.54</v>
      </c>
      <c r="C320">
        <v>36.824599999999997</v>
      </c>
      <c r="D320">
        <v>43.057299999999998</v>
      </c>
      <c r="E320">
        <v>44.143300000000004</v>
      </c>
      <c r="F320">
        <v>43189.57</v>
      </c>
      <c r="G320">
        <v>129.63999999999999</v>
      </c>
      <c r="H320">
        <v>504.92</v>
      </c>
      <c r="I320">
        <v>0</v>
      </c>
    </row>
    <row r="321" spans="1:9">
      <c r="A321" t="s">
        <v>861</v>
      </c>
      <c r="B321">
        <v>3223.4495999999999</v>
      </c>
      <c r="C321">
        <v>40.895200000000003</v>
      </c>
      <c r="D321">
        <v>43.0871</v>
      </c>
      <c r="E321">
        <v>43.738900000000001</v>
      </c>
      <c r="F321">
        <v>75087.649999999994</v>
      </c>
      <c r="G321">
        <v>70.459999999999994</v>
      </c>
      <c r="H321">
        <v>315.33999999999997</v>
      </c>
      <c r="I321">
        <v>0</v>
      </c>
    </row>
    <row r="322" spans="1:9">
      <c r="A322" t="s">
        <v>862</v>
      </c>
      <c r="B322">
        <v>1488.0519999999999</v>
      </c>
      <c r="C322">
        <v>37.516800000000003</v>
      </c>
      <c r="D322">
        <v>40.374899999999997</v>
      </c>
      <c r="E322">
        <v>40.810600000000001</v>
      </c>
      <c r="F322">
        <v>68751.75</v>
      </c>
      <c r="G322">
        <v>66.400000000000006</v>
      </c>
      <c r="H322">
        <v>322.77</v>
      </c>
      <c r="I322">
        <v>0</v>
      </c>
    </row>
    <row r="323" spans="1:9">
      <c r="A323" t="s">
        <v>863</v>
      </c>
      <c r="B323">
        <v>748.44079999999997</v>
      </c>
      <c r="C323">
        <v>34.584200000000003</v>
      </c>
      <c r="D323">
        <v>38.474200000000003</v>
      </c>
      <c r="E323">
        <v>38.871400000000001</v>
      </c>
      <c r="F323">
        <v>60269.5</v>
      </c>
      <c r="G323">
        <v>63.36</v>
      </c>
      <c r="H323">
        <v>318.19</v>
      </c>
      <c r="I323">
        <v>0</v>
      </c>
    </row>
    <row r="324" spans="1:9">
      <c r="A324" t="s">
        <v>864</v>
      </c>
      <c r="B324">
        <v>399.55759999999998</v>
      </c>
      <c r="C324">
        <v>32.023499999999999</v>
      </c>
      <c r="D324">
        <v>36.869500000000002</v>
      </c>
      <c r="E324">
        <v>37.109400000000001</v>
      </c>
      <c r="F324">
        <v>50253.73</v>
      </c>
      <c r="G324">
        <v>66.400000000000006</v>
      </c>
      <c r="H324">
        <v>313.48</v>
      </c>
      <c r="I324">
        <v>0</v>
      </c>
    </row>
    <row r="325" spans="1:9">
      <c r="A325" t="s">
        <v>865</v>
      </c>
      <c r="B325">
        <v>4696.9066000000003</v>
      </c>
      <c r="C325">
        <v>43.478999999999999</v>
      </c>
      <c r="D325">
        <v>46.210099999999997</v>
      </c>
      <c r="E325">
        <v>46.414999999999999</v>
      </c>
      <c r="F325">
        <v>178776.74</v>
      </c>
      <c r="G325">
        <v>125.85</v>
      </c>
      <c r="H325">
        <v>447.46</v>
      </c>
      <c r="I325">
        <v>0</v>
      </c>
    </row>
    <row r="326" spans="1:9">
      <c r="A326" t="s">
        <v>866</v>
      </c>
      <c r="B326">
        <v>2238.0700999999999</v>
      </c>
      <c r="C326">
        <v>39.313200000000002</v>
      </c>
      <c r="D326">
        <v>43.445500000000003</v>
      </c>
      <c r="E326">
        <v>43.4026</v>
      </c>
      <c r="F326">
        <v>142267.82</v>
      </c>
      <c r="G326">
        <v>116.59</v>
      </c>
      <c r="H326">
        <v>447.82</v>
      </c>
      <c r="I326">
        <v>0</v>
      </c>
    </row>
    <row r="327" spans="1:9">
      <c r="A327" t="s">
        <v>867</v>
      </c>
      <c r="B327">
        <v>1113.2798</v>
      </c>
      <c r="C327">
        <v>35.667000000000002</v>
      </c>
      <c r="D327">
        <v>41.5366</v>
      </c>
      <c r="E327">
        <v>41.152000000000001</v>
      </c>
      <c r="F327">
        <v>120110.26</v>
      </c>
      <c r="G327">
        <v>122.24</v>
      </c>
      <c r="H327">
        <v>438.35</v>
      </c>
      <c r="I327">
        <v>0</v>
      </c>
    </row>
    <row r="328" spans="1:9">
      <c r="A328" t="s">
        <v>868</v>
      </c>
      <c r="B328">
        <v>542.0933</v>
      </c>
      <c r="C328">
        <v>32.478299999999997</v>
      </c>
      <c r="D328">
        <v>39.976199999999999</v>
      </c>
      <c r="E328">
        <v>38.789400000000001</v>
      </c>
      <c r="F328">
        <v>101241.26</v>
      </c>
      <c r="G328">
        <v>129.34</v>
      </c>
      <c r="H328">
        <v>440.28</v>
      </c>
      <c r="I328">
        <v>0</v>
      </c>
    </row>
    <row r="329" spans="1:9">
      <c r="A329" t="s">
        <v>869</v>
      </c>
      <c r="B329">
        <v>284.14319999999998</v>
      </c>
      <c r="C329">
        <v>47.676299999999998</v>
      </c>
      <c r="D329">
        <v>46.302799999999998</v>
      </c>
      <c r="E329">
        <v>46.284399999999998</v>
      </c>
      <c r="F329">
        <v>18997.419999999998</v>
      </c>
      <c r="G329">
        <v>21.26</v>
      </c>
      <c r="H329">
        <v>489.36</v>
      </c>
      <c r="I329">
        <v>0</v>
      </c>
    </row>
    <row r="330" spans="1:9">
      <c r="A330" t="s">
        <v>870</v>
      </c>
      <c r="B330">
        <v>210.952</v>
      </c>
      <c r="C330">
        <v>43.542200000000001</v>
      </c>
      <c r="D330">
        <v>42.38</v>
      </c>
      <c r="E330">
        <v>42.597700000000003</v>
      </c>
      <c r="F330">
        <v>18547.07</v>
      </c>
      <c r="G330">
        <v>20.75</v>
      </c>
      <c r="H330">
        <v>492.69</v>
      </c>
      <c r="I330">
        <v>0</v>
      </c>
    </row>
    <row r="331" spans="1:9">
      <c r="A331" t="s">
        <v>871</v>
      </c>
      <c r="B331">
        <v>157.35759999999999</v>
      </c>
      <c r="C331">
        <v>39.042499999999997</v>
      </c>
      <c r="D331">
        <v>39.857599999999998</v>
      </c>
      <c r="E331">
        <v>40.328000000000003</v>
      </c>
      <c r="F331">
        <v>17828.71</v>
      </c>
      <c r="G331">
        <v>20.22</v>
      </c>
      <c r="H331">
        <v>506.05</v>
      </c>
      <c r="I331">
        <v>0</v>
      </c>
    </row>
    <row r="332" spans="1:9">
      <c r="A332" t="s">
        <v>872</v>
      </c>
      <c r="B332">
        <v>115.22880000000001</v>
      </c>
      <c r="C332">
        <v>34.3065</v>
      </c>
      <c r="D332">
        <v>38.418199999999999</v>
      </c>
      <c r="E332">
        <v>38.980200000000004</v>
      </c>
      <c r="F332">
        <v>17343.46</v>
      </c>
      <c r="G332">
        <v>20.51</v>
      </c>
      <c r="H332">
        <v>509</v>
      </c>
      <c r="I332">
        <v>0</v>
      </c>
    </row>
    <row r="333" spans="1:9">
      <c r="A333" t="s">
        <v>873</v>
      </c>
      <c r="B333">
        <v>540.22850000000005</v>
      </c>
      <c r="C333">
        <v>49.499200000000002</v>
      </c>
      <c r="D333">
        <v>52.326000000000001</v>
      </c>
      <c r="E333">
        <v>53.572800000000001</v>
      </c>
      <c r="F333">
        <v>67389.8</v>
      </c>
      <c r="G333">
        <v>53.62</v>
      </c>
      <c r="H333">
        <v>511.66</v>
      </c>
      <c r="I333">
        <v>0</v>
      </c>
    </row>
    <row r="334" spans="1:9">
      <c r="A334" t="s">
        <v>874</v>
      </c>
      <c r="B334">
        <v>303.07810000000001</v>
      </c>
      <c r="C334">
        <v>45.600499999999997</v>
      </c>
      <c r="D334">
        <v>49.070099999999996</v>
      </c>
      <c r="E334">
        <v>50.522799999999997</v>
      </c>
      <c r="F334">
        <v>62679.81</v>
      </c>
      <c r="G334">
        <v>55.05</v>
      </c>
      <c r="H334">
        <v>502.8</v>
      </c>
      <c r="I334">
        <v>0</v>
      </c>
    </row>
    <row r="335" spans="1:9">
      <c r="A335" t="s">
        <v>875</v>
      </c>
      <c r="B335">
        <v>179.66139999999999</v>
      </c>
      <c r="C335">
        <v>41.872399999999999</v>
      </c>
      <c r="D335">
        <v>46.802300000000002</v>
      </c>
      <c r="E335">
        <v>48.320300000000003</v>
      </c>
      <c r="F335">
        <v>57433.56</v>
      </c>
      <c r="G335">
        <v>50.33</v>
      </c>
      <c r="H335">
        <v>507.45</v>
      </c>
      <c r="I335">
        <v>0</v>
      </c>
    </row>
    <row r="336" spans="1:9">
      <c r="A336" t="s">
        <v>876</v>
      </c>
      <c r="B336">
        <v>112.5034</v>
      </c>
      <c r="C336">
        <v>38.154899999999998</v>
      </c>
      <c r="D336">
        <v>45.054299999999998</v>
      </c>
      <c r="E336">
        <v>46.593800000000002</v>
      </c>
      <c r="F336">
        <v>52756.62</v>
      </c>
      <c r="G336">
        <v>54.06</v>
      </c>
      <c r="H336">
        <v>505.73</v>
      </c>
      <c r="I336">
        <v>0</v>
      </c>
    </row>
    <row r="337" spans="1:9">
      <c r="A337" t="s">
        <v>877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878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879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880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881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882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883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884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885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886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887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888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889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890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891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892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893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894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895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896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897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898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899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900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901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902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903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904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905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906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907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908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909</v>
      </c>
      <c r="B369">
        <v>4711.0007999999998</v>
      </c>
      <c r="C369">
        <v>41.977499999999999</v>
      </c>
      <c r="D369">
        <v>43.553899999999999</v>
      </c>
      <c r="E369">
        <v>45.081600000000002</v>
      </c>
      <c r="F369">
        <v>89885.81</v>
      </c>
      <c r="G369">
        <v>77.69</v>
      </c>
      <c r="H369">
        <v>912.49</v>
      </c>
      <c r="I369">
        <v>0</v>
      </c>
    </row>
    <row r="370" spans="1:9">
      <c r="A370" t="s">
        <v>910</v>
      </c>
      <c r="B370">
        <v>2073.3096</v>
      </c>
      <c r="C370">
        <v>39.886499999999998</v>
      </c>
      <c r="D370">
        <v>41.9559</v>
      </c>
      <c r="E370">
        <v>43.062600000000003</v>
      </c>
      <c r="F370">
        <v>60521.24</v>
      </c>
      <c r="G370">
        <v>68.05</v>
      </c>
      <c r="H370">
        <v>906.7</v>
      </c>
      <c r="I370">
        <v>0</v>
      </c>
    </row>
    <row r="371" spans="1:9">
      <c r="A371" t="s">
        <v>911</v>
      </c>
      <c r="B371">
        <v>1023.2616</v>
      </c>
      <c r="C371">
        <v>37.427999999999997</v>
      </c>
      <c r="D371">
        <v>40.803899999999999</v>
      </c>
      <c r="E371">
        <v>41.823399999999999</v>
      </c>
      <c r="F371">
        <v>47114.12</v>
      </c>
      <c r="G371">
        <v>61.92</v>
      </c>
      <c r="H371">
        <v>888.46</v>
      </c>
      <c r="I371">
        <v>0</v>
      </c>
    </row>
    <row r="372" spans="1:9">
      <c r="A372" t="s">
        <v>912</v>
      </c>
      <c r="B372">
        <v>510.53359999999998</v>
      </c>
      <c r="C372">
        <v>34.9146</v>
      </c>
      <c r="D372">
        <v>39.954300000000003</v>
      </c>
      <c r="E372">
        <v>41.083599999999997</v>
      </c>
      <c r="F372">
        <v>39097.03</v>
      </c>
      <c r="G372">
        <v>57.91</v>
      </c>
      <c r="H372">
        <v>887.98</v>
      </c>
      <c r="I372">
        <v>0</v>
      </c>
    </row>
    <row r="373" spans="1:9">
      <c r="A373" t="s">
        <v>913</v>
      </c>
      <c r="B373">
        <v>7563.6463999999996</v>
      </c>
      <c r="C373">
        <v>40.200899999999997</v>
      </c>
      <c r="D373">
        <v>42.094900000000003</v>
      </c>
      <c r="E373">
        <v>43.303899999999999</v>
      </c>
      <c r="F373">
        <v>65918.990000000005</v>
      </c>
      <c r="G373">
        <v>75.760000000000005</v>
      </c>
      <c r="H373">
        <v>893.56</v>
      </c>
      <c r="I373">
        <v>0</v>
      </c>
    </row>
    <row r="374" spans="1:9">
      <c r="A374" t="s">
        <v>914</v>
      </c>
      <c r="B374">
        <v>2895.6768000000002</v>
      </c>
      <c r="C374">
        <v>37.239800000000002</v>
      </c>
      <c r="D374">
        <v>39.9696</v>
      </c>
      <c r="E374">
        <v>41.016100000000002</v>
      </c>
      <c r="F374">
        <v>47193.87</v>
      </c>
      <c r="G374">
        <v>56.52</v>
      </c>
      <c r="H374">
        <v>888.1</v>
      </c>
      <c r="I374">
        <v>0</v>
      </c>
    </row>
    <row r="375" spans="1:9">
      <c r="A375" t="s">
        <v>915</v>
      </c>
      <c r="B375">
        <v>1235.2</v>
      </c>
      <c r="C375">
        <v>34.473500000000001</v>
      </c>
      <c r="D375">
        <v>38.436599999999999</v>
      </c>
      <c r="E375">
        <v>39.665500000000002</v>
      </c>
      <c r="F375">
        <v>48756.959999999999</v>
      </c>
      <c r="G375">
        <v>66.14</v>
      </c>
      <c r="H375">
        <v>888.01</v>
      </c>
      <c r="I375">
        <v>0</v>
      </c>
    </row>
    <row r="376" spans="1:9">
      <c r="A376" t="s">
        <v>916</v>
      </c>
      <c r="B376">
        <v>531.90160000000003</v>
      </c>
      <c r="C376">
        <v>31.903300000000002</v>
      </c>
      <c r="D376">
        <v>37.366</v>
      </c>
      <c r="E376">
        <v>38.926499999999997</v>
      </c>
      <c r="F376">
        <v>28876.57</v>
      </c>
      <c r="G376">
        <v>49.07</v>
      </c>
      <c r="H376">
        <v>916.83</v>
      </c>
      <c r="I376">
        <v>0</v>
      </c>
    </row>
    <row r="377" spans="1:9">
      <c r="A377" t="s">
        <v>917</v>
      </c>
      <c r="B377">
        <v>20202.454399999999</v>
      </c>
      <c r="C377">
        <v>38.915900000000001</v>
      </c>
      <c r="D377">
        <v>40.222900000000003</v>
      </c>
      <c r="E377">
        <v>43.6417</v>
      </c>
      <c r="F377">
        <v>201950.18</v>
      </c>
      <c r="G377">
        <v>187.37</v>
      </c>
      <c r="H377">
        <v>916.04</v>
      </c>
      <c r="I377">
        <v>0</v>
      </c>
    </row>
    <row r="378" spans="1:9">
      <c r="A378" t="s">
        <v>918</v>
      </c>
      <c r="B378">
        <v>4805.9823999999999</v>
      </c>
      <c r="C378">
        <v>36.960299999999997</v>
      </c>
      <c r="D378">
        <v>39.094200000000001</v>
      </c>
      <c r="E378">
        <v>41.801400000000001</v>
      </c>
      <c r="F378">
        <v>126737.25</v>
      </c>
      <c r="G378">
        <v>125.61</v>
      </c>
      <c r="H378">
        <v>909.33</v>
      </c>
      <c r="I378">
        <v>0</v>
      </c>
    </row>
    <row r="379" spans="1:9">
      <c r="A379" t="s">
        <v>919</v>
      </c>
      <c r="B379">
        <v>2140.732</v>
      </c>
      <c r="C379">
        <v>34.949300000000001</v>
      </c>
      <c r="D379">
        <v>38.289499999999997</v>
      </c>
      <c r="E379">
        <v>40.323099999999997</v>
      </c>
      <c r="F379">
        <v>102070.58</v>
      </c>
      <c r="G379">
        <v>114.43</v>
      </c>
      <c r="H379">
        <v>911.51</v>
      </c>
      <c r="I379">
        <v>0</v>
      </c>
    </row>
    <row r="380" spans="1:9">
      <c r="A380" t="s">
        <v>920</v>
      </c>
      <c r="B380">
        <v>1056.3399999999999</v>
      </c>
      <c r="C380">
        <v>32.759900000000002</v>
      </c>
      <c r="D380">
        <v>37.482300000000002</v>
      </c>
      <c r="E380">
        <v>38.960599999999999</v>
      </c>
      <c r="F380">
        <v>80494.039999999994</v>
      </c>
      <c r="G380">
        <v>112.45</v>
      </c>
      <c r="H380">
        <v>906.29</v>
      </c>
      <c r="I380">
        <v>0</v>
      </c>
    </row>
    <row r="381" spans="1:9">
      <c r="A381" t="s">
        <v>921</v>
      </c>
      <c r="B381">
        <v>18478.371200000001</v>
      </c>
      <c r="C381">
        <v>39.665799999999997</v>
      </c>
      <c r="D381">
        <v>44.021900000000002</v>
      </c>
      <c r="E381">
        <v>45.4161</v>
      </c>
      <c r="F381">
        <v>278567.84000000003</v>
      </c>
      <c r="G381">
        <v>171.36</v>
      </c>
      <c r="H381">
        <v>918.9</v>
      </c>
      <c r="I381">
        <v>0</v>
      </c>
    </row>
    <row r="382" spans="1:9">
      <c r="A382" t="s">
        <v>922</v>
      </c>
      <c r="B382">
        <v>5809.86</v>
      </c>
      <c r="C382">
        <v>37.775399999999998</v>
      </c>
      <c r="D382">
        <v>42.722700000000003</v>
      </c>
      <c r="E382">
        <v>43.365499999999997</v>
      </c>
      <c r="F382">
        <v>187647.52</v>
      </c>
      <c r="G382">
        <v>146.25</v>
      </c>
      <c r="H382">
        <v>888.18</v>
      </c>
      <c r="I382">
        <v>0</v>
      </c>
    </row>
    <row r="383" spans="1:9">
      <c r="A383" t="s">
        <v>923</v>
      </c>
      <c r="B383">
        <v>2737.1943999999999</v>
      </c>
      <c r="C383">
        <v>35.921300000000002</v>
      </c>
      <c r="D383">
        <v>41.6449</v>
      </c>
      <c r="E383">
        <v>41.829300000000003</v>
      </c>
      <c r="F383">
        <v>137150.24</v>
      </c>
      <c r="G383">
        <v>135.97</v>
      </c>
      <c r="H383">
        <v>912.46</v>
      </c>
      <c r="I383">
        <v>0</v>
      </c>
    </row>
    <row r="384" spans="1:9">
      <c r="A384" t="s">
        <v>924</v>
      </c>
      <c r="B384">
        <v>1420.2456</v>
      </c>
      <c r="C384">
        <v>33.946800000000003</v>
      </c>
      <c r="D384">
        <v>40.691099999999999</v>
      </c>
      <c r="E384">
        <v>40.4803</v>
      </c>
      <c r="F384">
        <v>135431.71</v>
      </c>
      <c r="G384">
        <v>156.41999999999999</v>
      </c>
      <c r="H384">
        <v>887.99</v>
      </c>
      <c r="I384">
        <v>0</v>
      </c>
    </row>
    <row r="385" spans="1:9">
      <c r="A385" t="s">
        <v>925</v>
      </c>
      <c r="B385">
        <v>56997.074399999998</v>
      </c>
      <c r="C385">
        <v>38.531500000000001</v>
      </c>
      <c r="D385">
        <v>42.070700000000002</v>
      </c>
      <c r="E385">
        <v>44.260199999999998</v>
      </c>
      <c r="F385">
        <v>275418.14</v>
      </c>
      <c r="G385">
        <v>281.77</v>
      </c>
      <c r="H385">
        <v>921.09</v>
      </c>
      <c r="I385">
        <v>0</v>
      </c>
    </row>
    <row r="386" spans="1:9">
      <c r="A386" t="s">
        <v>926</v>
      </c>
      <c r="B386">
        <v>8123.2736000000004</v>
      </c>
      <c r="C386">
        <v>35.475200000000001</v>
      </c>
      <c r="D386">
        <v>40.686199999999999</v>
      </c>
      <c r="E386">
        <v>43.144100000000002</v>
      </c>
      <c r="F386">
        <v>108932.91</v>
      </c>
      <c r="G386">
        <v>147.44999999999999</v>
      </c>
      <c r="H386">
        <v>917.39</v>
      </c>
      <c r="I386">
        <v>0</v>
      </c>
    </row>
    <row r="387" spans="1:9">
      <c r="A387" t="s">
        <v>927</v>
      </c>
      <c r="B387">
        <v>1929.3040000000001</v>
      </c>
      <c r="C387">
        <v>33.794699999999999</v>
      </c>
      <c r="D387">
        <v>39.615499999999997</v>
      </c>
      <c r="E387">
        <v>42.257599999999996</v>
      </c>
      <c r="F387">
        <v>95358.6</v>
      </c>
      <c r="G387">
        <v>142.51</v>
      </c>
      <c r="H387">
        <v>888.11</v>
      </c>
      <c r="I387">
        <v>0</v>
      </c>
    </row>
    <row r="388" spans="1:9">
      <c r="A388" t="s">
        <v>928</v>
      </c>
      <c r="B388">
        <v>720.47280000000001</v>
      </c>
      <c r="C388">
        <v>31.827000000000002</v>
      </c>
      <c r="D388">
        <v>38.7224</v>
      </c>
      <c r="E388">
        <v>41.544199999999996</v>
      </c>
      <c r="F388">
        <v>51726.99</v>
      </c>
      <c r="G388">
        <v>91.28</v>
      </c>
      <c r="H388">
        <v>893.85</v>
      </c>
      <c r="I388">
        <v>0</v>
      </c>
    </row>
    <row r="389" spans="1:9">
      <c r="A389" t="s">
        <v>929</v>
      </c>
      <c r="B389">
        <v>3208.6</v>
      </c>
      <c r="C389">
        <v>40.730200000000004</v>
      </c>
      <c r="D389">
        <v>43.256399999999999</v>
      </c>
      <c r="E389">
        <v>43.9452</v>
      </c>
      <c r="F389">
        <v>50876.25</v>
      </c>
      <c r="G389">
        <v>51.44</v>
      </c>
      <c r="H389">
        <v>319.25</v>
      </c>
      <c r="I389">
        <v>0</v>
      </c>
    </row>
    <row r="390" spans="1:9">
      <c r="A390" t="s">
        <v>930</v>
      </c>
      <c r="B390">
        <v>1459.2711999999999</v>
      </c>
      <c r="C390">
        <v>37.463000000000001</v>
      </c>
      <c r="D390">
        <v>40.823599999999999</v>
      </c>
      <c r="E390">
        <v>41.1783</v>
      </c>
      <c r="F390">
        <v>42897.120000000003</v>
      </c>
      <c r="G390">
        <v>46.55</v>
      </c>
      <c r="H390">
        <v>309.42</v>
      </c>
      <c r="I390">
        <v>0</v>
      </c>
    </row>
    <row r="391" spans="1:9">
      <c r="A391" t="s">
        <v>931</v>
      </c>
      <c r="B391">
        <v>719.35599999999999</v>
      </c>
      <c r="C391">
        <v>34.654200000000003</v>
      </c>
      <c r="D391">
        <v>38.927100000000003</v>
      </c>
      <c r="E391">
        <v>39.326300000000003</v>
      </c>
      <c r="F391">
        <v>35691.58</v>
      </c>
      <c r="G391">
        <v>42.52</v>
      </c>
      <c r="H391">
        <v>315.37</v>
      </c>
      <c r="I391">
        <v>0</v>
      </c>
    </row>
    <row r="392" spans="1:9">
      <c r="A392" t="s">
        <v>932</v>
      </c>
      <c r="B392">
        <v>376.27199999999999</v>
      </c>
      <c r="C392">
        <v>32.282299999999999</v>
      </c>
      <c r="D392">
        <v>37.418199999999999</v>
      </c>
      <c r="E392">
        <v>37.624000000000002</v>
      </c>
      <c r="F392">
        <v>28260.84</v>
      </c>
      <c r="G392">
        <v>39.090000000000003</v>
      </c>
      <c r="H392">
        <v>321.05</v>
      </c>
      <c r="I392">
        <v>0</v>
      </c>
    </row>
    <row r="393" spans="1:9">
      <c r="A393" t="s">
        <v>933</v>
      </c>
      <c r="B393">
        <v>3753.3087999999998</v>
      </c>
      <c r="C393">
        <v>40.494199999999999</v>
      </c>
      <c r="D393">
        <v>43.430700000000002</v>
      </c>
      <c r="E393">
        <v>44.905999999999999</v>
      </c>
      <c r="F393">
        <v>52744.02</v>
      </c>
      <c r="G393">
        <v>62.36</v>
      </c>
      <c r="H393">
        <v>321.81</v>
      </c>
      <c r="I393">
        <v>0</v>
      </c>
    </row>
    <row r="394" spans="1:9">
      <c r="A394" t="s">
        <v>934</v>
      </c>
      <c r="B394">
        <v>1620.4567999999999</v>
      </c>
      <c r="C394">
        <v>37.616900000000001</v>
      </c>
      <c r="D394">
        <v>41.362900000000003</v>
      </c>
      <c r="E394">
        <v>42.506300000000003</v>
      </c>
      <c r="F394">
        <v>42039.79</v>
      </c>
      <c r="G394">
        <v>55.14</v>
      </c>
      <c r="H394">
        <v>317.57</v>
      </c>
      <c r="I394">
        <v>0</v>
      </c>
    </row>
    <row r="395" spans="1:9">
      <c r="A395" t="s">
        <v>935</v>
      </c>
      <c r="B395">
        <v>790.97839999999997</v>
      </c>
      <c r="C395">
        <v>34.694099999999999</v>
      </c>
      <c r="D395">
        <v>39.725499999999997</v>
      </c>
      <c r="E395">
        <v>40.707000000000001</v>
      </c>
      <c r="F395">
        <v>33667.58</v>
      </c>
      <c r="G395">
        <v>50.58</v>
      </c>
      <c r="H395">
        <v>308.72000000000003</v>
      </c>
      <c r="I395">
        <v>0</v>
      </c>
    </row>
    <row r="396" spans="1:9">
      <c r="A396" t="s">
        <v>936</v>
      </c>
      <c r="B396">
        <v>401.79199999999997</v>
      </c>
      <c r="C396">
        <v>31.8416</v>
      </c>
      <c r="D396">
        <v>38.453200000000002</v>
      </c>
      <c r="E396">
        <v>39.349600000000002</v>
      </c>
      <c r="F396">
        <v>28468.240000000002</v>
      </c>
      <c r="G396">
        <v>48.36</v>
      </c>
      <c r="H396">
        <v>320.43</v>
      </c>
      <c r="I396">
        <v>0</v>
      </c>
    </row>
    <row r="397" spans="1:9">
      <c r="A397" t="s">
        <v>937</v>
      </c>
      <c r="B397">
        <v>7524.44</v>
      </c>
      <c r="C397">
        <v>38.690600000000003</v>
      </c>
      <c r="D397">
        <v>41.348100000000002</v>
      </c>
      <c r="E397">
        <v>42.334400000000002</v>
      </c>
      <c r="F397">
        <v>55812.87</v>
      </c>
      <c r="G397">
        <v>69.48</v>
      </c>
      <c r="H397">
        <v>302.14</v>
      </c>
      <c r="I397">
        <v>0</v>
      </c>
    </row>
    <row r="398" spans="1:9">
      <c r="A398" t="s">
        <v>938</v>
      </c>
      <c r="B398">
        <v>3033.5904</v>
      </c>
      <c r="C398">
        <v>34.781999999999996</v>
      </c>
      <c r="D398">
        <v>38.578899999999997</v>
      </c>
      <c r="E398">
        <v>39.449100000000001</v>
      </c>
      <c r="F398">
        <v>40449.17</v>
      </c>
      <c r="G398">
        <v>57.48</v>
      </c>
      <c r="H398">
        <v>310.76</v>
      </c>
      <c r="I398">
        <v>0</v>
      </c>
    </row>
    <row r="399" spans="1:9">
      <c r="A399" t="s">
        <v>939</v>
      </c>
      <c r="B399">
        <v>1331.7248</v>
      </c>
      <c r="C399">
        <v>31.377400000000002</v>
      </c>
      <c r="D399">
        <v>36.714599999999997</v>
      </c>
      <c r="E399">
        <v>37.546399999999998</v>
      </c>
      <c r="F399">
        <v>32107.31</v>
      </c>
      <c r="G399">
        <v>49.61</v>
      </c>
      <c r="H399">
        <v>308.5</v>
      </c>
      <c r="I399">
        <v>0</v>
      </c>
    </row>
    <row r="400" spans="1:9">
      <c r="A400" t="s">
        <v>940</v>
      </c>
      <c r="B400">
        <v>577.37360000000001</v>
      </c>
      <c r="C400">
        <v>28.209800000000001</v>
      </c>
      <c r="D400">
        <v>35.328299999999999</v>
      </c>
      <c r="E400">
        <v>36.139000000000003</v>
      </c>
      <c r="F400">
        <v>24961.38</v>
      </c>
      <c r="G400">
        <v>44.61</v>
      </c>
      <c r="H400">
        <v>307.48</v>
      </c>
      <c r="I400">
        <v>0</v>
      </c>
    </row>
    <row r="401" spans="1:9">
      <c r="A401" t="s">
        <v>941</v>
      </c>
      <c r="B401">
        <v>5304.6216000000004</v>
      </c>
      <c r="C401">
        <v>40.217199999999998</v>
      </c>
      <c r="D401">
        <v>41.485799999999998</v>
      </c>
      <c r="E401">
        <v>42.963999999999999</v>
      </c>
      <c r="F401">
        <v>52327.88</v>
      </c>
      <c r="G401">
        <v>45.36</v>
      </c>
      <c r="H401">
        <v>313.92</v>
      </c>
      <c r="I401">
        <v>0</v>
      </c>
    </row>
    <row r="402" spans="1:9">
      <c r="A402" t="s">
        <v>942</v>
      </c>
      <c r="B402">
        <v>2012.5440000000001</v>
      </c>
      <c r="C402">
        <v>36.432099999999998</v>
      </c>
      <c r="D402">
        <v>38.908000000000001</v>
      </c>
      <c r="E402">
        <v>40.635399999999997</v>
      </c>
      <c r="F402">
        <v>36102.07</v>
      </c>
      <c r="G402">
        <v>36.43</v>
      </c>
      <c r="H402">
        <v>310.43</v>
      </c>
      <c r="I402">
        <v>0</v>
      </c>
    </row>
    <row r="403" spans="1:9">
      <c r="A403" t="s">
        <v>943</v>
      </c>
      <c r="B403">
        <v>904.21839999999997</v>
      </c>
      <c r="C403">
        <v>33.395099999999999</v>
      </c>
      <c r="D403">
        <v>37.273800000000001</v>
      </c>
      <c r="E403">
        <v>39.1252</v>
      </c>
      <c r="F403">
        <v>31331.11</v>
      </c>
      <c r="G403">
        <v>32.479999999999997</v>
      </c>
      <c r="H403">
        <v>317.43</v>
      </c>
      <c r="I403">
        <v>0</v>
      </c>
    </row>
    <row r="404" spans="1:9">
      <c r="A404" t="s">
        <v>944</v>
      </c>
      <c r="B404">
        <v>414.94</v>
      </c>
      <c r="C404">
        <v>30.603300000000001</v>
      </c>
      <c r="D404">
        <v>36.086100000000002</v>
      </c>
      <c r="E404">
        <v>37.899099999999997</v>
      </c>
      <c r="F404">
        <v>23784.3</v>
      </c>
      <c r="G404">
        <v>29.86</v>
      </c>
      <c r="H404">
        <v>311.91000000000003</v>
      </c>
      <c r="I404">
        <v>0</v>
      </c>
    </row>
    <row r="405" spans="1:9">
      <c r="A405" t="s">
        <v>945</v>
      </c>
      <c r="B405">
        <v>1513.64</v>
      </c>
      <c r="C405">
        <v>41.4343</v>
      </c>
      <c r="D405">
        <v>44.204000000000001</v>
      </c>
      <c r="E405">
        <v>43.494500000000002</v>
      </c>
      <c r="F405">
        <v>16062.68</v>
      </c>
      <c r="G405">
        <v>24.64</v>
      </c>
      <c r="H405">
        <v>197.37</v>
      </c>
      <c r="I405">
        <v>0</v>
      </c>
    </row>
    <row r="406" spans="1:9">
      <c r="A406" t="s">
        <v>946</v>
      </c>
      <c r="B406">
        <v>731.23040000000003</v>
      </c>
      <c r="C406">
        <v>37.366500000000002</v>
      </c>
      <c r="D406">
        <v>41.487699999999997</v>
      </c>
      <c r="E406">
        <v>40.348799999999997</v>
      </c>
      <c r="F406">
        <v>12880.09</v>
      </c>
      <c r="G406">
        <v>23.55</v>
      </c>
      <c r="H406">
        <v>198.61</v>
      </c>
      <c r="I406">
        <v>0</v>
      </c>
    </row>
    <row r="407" spans="1:9">
      <c r="A407" t="s">
        <v>947</v>
      </c>
      <c r="B407">
        <v>368.16320000000002</v>
      </c>
      <c r="C407">
        <v>33.920200000000001</v>
      </c>
      <c r="D407">
        <v>39.6233</v>
      </c>
      <c r="E407">
        <v>38.301200000000001</v>
      </c>
      <c r="F407">
        <v>10600.21</v>
      </c>
      <c r="G407">
        <v>22.56</v>
      </c>
      <c r="H407">
        <v>177.76</v>
      </c>
      <c r="I407">
        <v>0</v>
      </c>
    </row>
    <row r="408" spans="1:9">
      <c r="A408" t="s">
        <v>948</v>
      </c>
      <c r="B408">
        <v>190.23920000000001</v>
      </c>
      <c r="C408">
        <v>31.056000000000001</v>
      </c>
      <c r="D408">
        <v>38.175199999999997</v>
      </c>
      <c r="E408">
        <v>36.618400000000001</v>
      </c>
      <c r="F408">
        <v>8801.1</v>
      </c>
      <c r="G408">
        <v>21.4</v>
      </c>
      <c r="H408">
        <v>177.81</v>
      </c>
      <c r="I408">
        <v>0</v>
      </c>
    </row>
    <row r="409" spans="1:9">
      <c r="A409" t="s">
        <v>949</v>
      </c>
      <c r="B409">
        <v>2103.02</v>
      </c>
      <c r="C409">
        <v>38.721800000000002</v>
      </c>
      <c r="D409">
        <v>42.802799999999998</v>
      </c>
      <c r="E409">
        <v>43.905799999999999</v>
      </c>
      <c r="F409">
        <v>11276.71</v>
      </c>
      <c r="G409">
        <v>30.97</v>
      </c>
      <c r="H409">
        <v>194.63</v>
      </c>
      <c r="I409">
        <v>0</v>
      </c>
    </row>
    <row r="410" spans="1:9">
      <c r="A410" t="s">
        <v>950</v>
      </c>
      <c r="B410">
        <v>703.59199999999998</v>
      </c>
      <c r="C410">
        <v>34.871200000000002</v>
      </c>
      <c r="D410">
        <v>40.735399999999998</v>
      </c>
      <c r="E410">
        <v>41.8018</v>
      </c>
      <c r="F410">
        <v>7639.68</v>
      </c>
      <c r="G410">
        <v>28.41</v>
      </c>
      <c r="H410">
        <v>196.96</v>
      </c>
      <c r="I410">
        <v>0</v>
      </c>
    </row>
    <row r="411" spans="1:9">
      <c r="A411" t="s">
        <v>951</v>
      </c>
      <c r="B411">
        <v>262.404</v>
      </c>
      <c r="C411">
        <v>31.737200000000001</v>
      </c>
      <c r="D411">
        <v>39.369</v>
      </c>
      <c r="E411">
        <v>40.287700000000001</v>
      </c>
      <c r="F411">
        <v>5450.46</v>
      </c>
      <c r="G411">
        <v>25.94</v>
      </c>
      <c r="H411">
        <v>196.88</v>
      </c>
      <c r="I411">
        <v>0</v>
      </c>
    </row>
    <row r="412" spans="1:9">
      <c r="A412" t="s">
        <v>952</v>
      </c>
      <c r="B412">
        <v>105.1088</v>
      </c>
      <c r="C412">
        <v>28.89</v>
      </c>
      <c r="D412">
        <v>38.450000000000003</v>
      </c>
      <c r="E412">
        <v>39.291400000000003</v>
      </c>
      <c r="F412">
        <v>3941.31</v>
      </c>
      <c r="G412">
        <v>23.13</v>
      </c>
      <c r="H412">
        <v>196.89</v>
      </c>
      <c r="I412">
        <v>0</v>
      </c>
    </row>
    <row r="413" spans="1:9">
      <c r="A413" t="s">
        <v>953</v>
      </c>
      <c r="B413">
        <v>1783.2</v>
      </c>
      <c r="C413">
        <v>38.4422</v>
      </c>
      <c r="D413">
        <v>40.9801</v>
      </c>
      <c r="E413">
        <v>41.797199999999997</v>
      </c>
      <c r="F413">
        <v>12800.1</v>
      </c>
      <c r="G413">
        <v>24.54</v>
      </c>
      <c r="H413">
        <v>188.86</v>
      </c>
      <c r="I413">
        <v>0</v>
      </c>
    </row>
    <row r="414" spans="1:9">
      <c r="A414" t="s">
        <v>954</v>
      </c>
      <c r="B414">
        <v>721.90239999999994</v>
      </c>
      <c r="C414">
        <v>34.627499999999998</v>
      </c>
      <c r="D414">
        <v>38.254800000000003</v>
      </c>
      <c r="E414">
        <v>38.914200000000001</v>
      </c>
      <c r="F414">
        <v>9270.6299999999992</v>
      </c>
      <c r="G414">
        <v>22.35</v>
      </c>
      <c r="H414">
        <v>198.54</v>
      </c>
      <c r="I414">
        <v>0</v>
      </c>
    </row>
    <row r="415" spans="1:9">
      <c r="A415" t="s">
        <v>955</v>
      </c>
      <c r="B415">
        <v>313.47199999999998</v>
      </c>
      <c r="C415">
        <v>31.206800000000001</v>
      </c>
      <c r="D415">
        <v>36.2973</v>
      </c>
      <c r="E415">
        <v>36.926000000000002</v>
      </c>
      <c r="F415">
        <v>7135.62</v>
      </c>
      <c r="G415">
        <v>19.579999999999998</v>
      </c>
      <c r="H415">
        <v>198.49</v>
      </c>
      <c r="I415">
        <v>0</v>
      </c>
    </row>
    <row r="416" spans="1:9">
      <c r="A416" t="s">
        <v>956</v>
      </c>
      <c r="B416">
        <v>135.91839999999999</v>
      </c>
      <c r="C416">
        <v>28.181799999999999</v>
      </c>
      <c r="D416">
        <v>34.866</v>
      </c>
      <c r="E416">
        <v>35.492400000000004</v>
      </c>
      <c r="F416">
        <v>5413.48</v>
      </c>
      <c r="G416">
        <v>19.72</v>
      </c>
      <c r="H416">
        <v>182.43</v>
      </c>
      <c r="I416">
        <v>0</v>
      </c>
    </row>
    <row r="417" spans="1:9">
      <c r="A417" t="s">
        <v>957</v>
      </c>
      <c r="B417">
        <v>1190.2904000000001</v>
      </c>
      <c r="C417">
        <v>40.398000000000003</v>
      </c>
      <c r="D417">
        <v>41.404800000000002</v>
      </c>
      <c r="E417">
        <v>42.546799999999998</v>
      </c>
      <c r="F417">
        <v>11992.21</v>
      </c>
      <c r="G417">
        <v>18.05</v>
      </c>
      <c r="H417">
        <v>197.5</v>
      </c>
      <c r="I417">
        <v>0</v>
      </c>
    </row>
    <row r="418" spans="1:9">
      <c r="A418" t="s">
        <v>958</v>
      </c>
      <c r="B418">
        <v>548.6472</v>
      </c>
      <c r="C418">
        <v>36.1935</v>
      </c>
      <c r="D418">
        <v>38.591999999999999</v>
      </c>
      <c r="E418">
        <v>39.8309</v>
      </c>
      <c r="F418">
        <v>9249.74</v>
      </c>
      <c r="G418">
        <v>15.97</v>
      </c>
      <c r="H418">
        <v>177.44</v>
      </c>
      <c r="I418">
        <v>0</v>
      </c>
    </row>
    <row r="419" spans="1:9">
      <c r="A419" t="s">
        <v>959</v>
      </c>
      <c r="B419">
        <v>266.5104</v>
      </c>
      <c r="C419">
        <v>32.614899999999999</v>
      </c>
      <c r="D419">
        <v>36.868899999999996</v>
      </c>
      <c r="E419">
        <v>38.087600000000002</v>
      </c>
      <c r="F419">
        <v>7396.2</v>
      </c>
      <c r="G419">
        <v>15.1</v>
      </c>
      <c r="H419">
        <v>196.67</v>
      </c>
      <c r="I419">
        <v>0</v>
      </c>
    </row>
    <row r="420" spans="1:9">
      <c r="A420" t="s">
        <v>960</v>
      </c>
      <c r="B420">
        <v>130.47839999999999</v>
      </c>
      <c r="C420">
        <v>29.759399999999999</v>
      </c>
      <c r="D420">
        <v>35.515799999999999</v>
      </c>
      <c r="E420">
        <v>36.599800000000002</v>
      </c>
      <c r="F420">
        <v>6090.03</v>
      </c>
      <c r="G420">
        <v>13.92</v>
      </c>
      <c r="H420">
        <v>191.2</v>
      </c>
      <c r="I420">
        <v>0</v>
      </c>
    </row>
    <row r="421" spans="1:9">
      <c r="A421" t="s">
        <v>961</v>
      </c>
      <c r="B421">
        <v>2125.2719999999999</v>
      </c>
      <c r="C421">
        <v>42.981900000000003</v>
      </c>
      <c r="D421">
        <v>46.853499999999997</v>
      </c>
      <c r="E421">
        <v>48.277900000000002</v>
      </c>
      <c r="F421">
        <v>46358.01</v>
      </c>
      <c r="G421">
        <v>76.59</v>
      </c>
      <c r="H421">
        <v>500.85</v>
      </c>
      <c r="I421">
        <v>0</v>
      </c>
    </row>
    <row r="422" spans="1:9">
      <c r="A422" t="s">
        <v>962</v>
      </c>
      <c r="B422">
        <v>751.572</v>
      </c>
      <c r="C422">
        <v>40.7333</v>
      </c>
      <c r="D422">
        <v>45.004800000000003</v>
      </c>
      <c r="E422">
        <v>46.386000000000003</v>
      </c>
      <c r="F422">
        <v>33274.01</v>
      </c>
      <c r="G422">
        <v>65.39</v>
      </c>
      <c r="H422">
        <v>506.88</v>
      </c>
      <c r="I422">
        <v>0</v>
      </c>
    </row>
    <row r="423" spans="1:9">
      <c r="A423" t="s">
        <v>963</v>
      </c>
      <c r="B423">
        <v>368.44479999999999</v>
      </c>
      <c r="C423">
        <v>38.186399999999999</v>
      </c>
      <c r="D423">
        <v>43.3735</v>
      </c>
      <c r="E423">
        <v>44.772199999999998</v>
      </c>
      <c r="F423">
        <v>26515.13</v>
      </c>
      <c r="G423">
        <v>64.38</v>
      </c>
      <c r="H423">
        <v>507.48</v>
      </c>
      <c r="I423">
        <v>0</v>
      </c>
    </row>
    <row r="424" spans="1:9">
      <c r="A424" t="s">
        <v>964</v>
      </c>
      <c r="B424">
        <v>195.11519999999999</v>
      </c>
      <c r="C424">
        <v>35.375300000000003</v>
      </c>
      <c r="D424">
        <v>42.0959</v>
      </c>
      <c r="E424">
        <v>43.360999999999997</v>
      </c>
      <c r="F424">
        <v>22856.86</v>
      </c>
      <c r="G424">
        <v>55.5</v>
      </c>
      <c r="H424">
        <v>509.48</v>
      </c>
      <c r="I424">
        <v>0</v>
      </c>
    </row>
    <row r="425" spans="1:9">
      <c r="A425" t="s">
        <v>965</v>
      </c>
      <c r="B425">
        <v>1598.5968</v>
      </c>
      <c r="C425">
        <v>43.261699999999998</v>
      </c>
      <c r="D425">
        <v>48.467599999999997</v>
      </c>
      <c r="E425">
        <v>49.138800000000003</v>
      </c>
      <c r="F425">
        <v>41104.69</v>
      </c>
      <c r="G425">
        <v>68.02</v>
      </c>
      <c r="H425">
        <v>507.29</v>
      </c>
      <c r="I425">
        <v>0</v>
      </c>
    </row>
    <row r="426" spans="1:9">
      <c r="A426" t="s">
        <v>966</v>
      </c>
      <c r="B426">
        <v>368.1456</v>
      </c>
      <c r="C426">
        <v>41.548999999999999</v>
      </c>
      <c r="D426">
        <v>47.039499999999997</v>
      </c>
      <c r="E426">
        <v>47.688699999999997</v>
      </c>
      <c r="F426">
        <v>25245.51</v>
      </c>
      <c r="G426">
        <v>59.44</v>
      </c>
      <c r="H426">
        <v>506.7</v>
      </c>
      <c r="I426">
        <v>0</v>
      </c>
    </row>
    <row r="427" spans="1:9">
      <c r="A427" t="s">
        <v>967</v>
      </c>
      <c r="B427">
        <v>154.7304</v>
      </c>
      <c r="C427">
        <v>39.567500000000003</v>
      </c>
      <c r="D427">
        <v>45.558500000000002</v>
      </c>
      <c r="E427">
        <v>46.301299999999998</v>
      </c>
      <c r="F427">
        <v>20622.599999999999</v>
      </c>
      <c r="G427">
        <v>56.02</v>
      </c>
      <c r="H427">
        <v>510.98</v>
      </c>
      <c r="I427">
        <v>0</v>
      </c>
    </row>
    <row r="428" spans="1:9">
      <c r="A428" t="s">
        <v>968</v>
      </c>
      <c r="B428">
        <v>81.965599999999995</v>
      </c>
      <c r="C428">
        <v>37.253799999999998</v>
      </c>
      <c r="D428">
        <v>44.254199999999997</v>
      </c>
      <c r="E428">
        <v>44.975299999999997</v>
      </c>
      <c r="F428">
        <v>17223.939999999999</v>
      </c>
      <c r="G428">
        <v>46.9</v>
      </c>
      <c r="H428">
        <v>508.92</v>
      </c>
      <c r="I428">
        <v>0</v>
      </c>
    </row>
    <row r="429" spans="1:9">
      <c r="A429" t="s">
        <v>969</v>
      </c>
      <c r="B429">
        <v>1915.8152</v>
      </c>
      <c r="C429">
        <v>43.633000000000003</v>
      </c>
      <c r="D429">
        <v>47.726399999999998</v>
      </c>
      <c r="E429">
        <v>48.687600000000003</v>
      </c>
      <c r="F429">
        <v>51074.74</v>
      </c>
      <c r="G429">
        <v>77.2</v>
      </c>
      <c r="H429">
        <v>506.23</v>
      </c>
      <c r="I429">
        <v>0</v>
      </c>
    </row>
    <row r="430" spans="1:9">
      <c r="A430" t="s">
        <v>970</v>
      </c>
      <c r="B430">
        <v>607.50239999999997</v>
      </c>
      <c r="C430">
        <v>41.6083</v>
      </c>
      <c r="D430">
        <v>45.939399999999999</v>
      </c>
      <c r="E430">
        <v>46.974699999999999</v>
      </c>
      <c r="F430">
        <v>34164.47</v>
      </c>
      <c r="G430">
        <v>66.010000000000005</v>
      </c>
      <c r="H430">
        <v>498.81</v>
      </c>
      <c r="I430">
        <v>0</v>
      </c>
    </row>
    <row r="431" spans="1:9">
      <c r="A431" t="s">
        <v>971</v>
      </c>
      <c r="B431">
        <v>264.03039999999999</v>
      </c>
      <c r="C431">
        <v>39.35</v>
      </c>
      <c r="D431">
        <v>44.273400000000002</v>
      </c>
      <c r="E431">
        <v>45.361499999999999</v>
      </c>
      <c r="F431">
        <v>28587.41</v>
      </c>
      <c r="G431">
        <v>67.19</v>
      </c>
      <c r="H431">
        <v>491.32</v>
      </c>
      <c r="I431">
        <v>0</v>
      </c>
    </row>
    <row r="432" spans="1:9">
      <c r="A432" t="s">
        <v>972</v>
      </c>
      <c r="B432">
        <v>135.51599999999999</v>
      </c>
      <c r="C432">
        <v>36.805900000000001</v>
      </c>
      <c r="D432">
        <v>42.8765</v>
      </c>
      <c r="E432">
        <v>43.9758</v>
      </c>
      <c r="F432">
        <v>23463.360000000001</v>
      </c>
      <c r="G432">
        <v>64.62</v>
      </c>
      <c r="H432">
        <v>492.62</v>
      </c>
      <c r="I432">
        <v>0</v>
      </c>
    </row>
    <row r="433" spans="1:9">
      <c r="A433" t="s">
        <v>973</v>
      </c>
      <c r="B433">
        <v>3412.5408000000002</v>
      </c>
      <c r="C433">
        <v>40.843899999999998</v>
      </c>
      <c r="D433">
        <v>43.079500000000003</v>
      </c>
      <c r="E433">
        <v>43.7181</v>
      </c>
      <c r="F433">
        <v>49809.98</v>
      </c>
      <c r="G433">
        <v>53.16</v>
      </c>
      <c r="H433">
        <v>318.37</v>
      </c>
      <c r="I433">
        <v>0</v>
      </c>
    </row>
    <row r="434" spans="1:9">
      <c r="A434" t="s">
        <v>974</v>
      </c>
      <c r="B434">
        <v>1553.9287999999999</v>
      </c>
      <c r="C434">
        <v>37.462000000000003</v>
      </c>
      <c r="D434">
        <v>40.404899999999998</v>
      </c>
      <c r="E434">
        <v>40.780799999999999</v>
      </c>
      <c r="F434">
        <v>42505.81</v>
      </c>
      <c r="G434">
        <v>49.34</v>
      </c>
      <c r="H434">
        <v>321.52999999999997</v>
      </c>
      <c r="I434">
        <v>0</v>
      </c>
    </row>
    <row r="435" spans="1:9">
      <c r="A435" t="s">
        <v>975</v>
      </c>
      <c r="B435">
        <v>770.49040000000002</v>
      </c>
      <c r="C435">
        <v>34.540999999999997</v>
      </c>
      <c r="D435">
        <v>38.465899999999998</v>
      </c>
      <c r="E435">
        <v>38.8005</v>
      </c>
      <c r="F435">
        <v>34400.620000000003</v>
      </c>
      <c r="G435">
        <v>42.27</v>
      </c>
      <c r="H435">
        <v>313.61</v>
      </c>
      <c r="I435">
        <v>0</v>
      </c>
    </row>
    <row r="436" spans="1:9">
      <c r="A436" t="s">
        <v>976</v>
      </c>
      <c r="B436">
        <v>408.16160000000002</v>
      </c>
      <c r="C436">
        <v>31.9953</v>
      </c>
      <c r="D436">
        <v>36.790799999999997</v>
      </c>
      <c r="E436">
        <v>36.9634</v>
      </c>
      <c r="F436">
        <v>27326.39</v>
      </c>
      <c r="G436">
        <v>37.43</v>
      </c>
      <c r="H436">
        <v>317.61</v>
      </c>
      <c r="I436">
        <v>0</v>
      </c>
    </row>
    <row r="437" spans="1:9">
      <c r="A437" t="s">
        <v>977</v>
      </c>
      <c r="B437">
        <v>4746.1714000000002</v>
      </c>
      <c r="C437">
        <v>43.436999999999998</v>
      </c>
      <c r="D437">
        <v>46.1098</v>
      </c>
      <c r="E437">
        <v>46.358699999999999</v>
      </c>
      <c r="F437">
        <v>130019.01</v>
      </c>
      <c r="G437">
        <v>88.89</v>
      </c>
      <c r="H437">
        <v>439.03</v>
      </c>
      <c r="I437">
        <v>0</v>
      </c>
    </row>
    <row r="438" spans="1:9">
      <c r="A438" t="s">
        <v>978</v>
      </c>
      <c r="B438">
        <v>2261.6136000000001</v>
      </c>
      <c r="C438">
        <v>39.290999999999997</v>
      </c>
      <c r="D438">
        <v>43.327300000000001</v>
      </c>
      <c r="E438">
        <v>43.320999999999998</v>
      </c>
      <c r="F438">
        <v>93037.22</v>
      </c>
      <c r="G438">
        <v>74.36</v>
      </c>
      <c r="H438">
        <v>440.71</v>
      </c>
      <c r="I438">
        <v>0</v>
      </c>
    </row>
    <row r="439" spans="1:9">
      <c r="A439" t="s">
        <v>979</v>
      </c>
      <c r="B439">
        <v>1126.2696000000001</v>
      </c>
      <c r="C439">
        <v>35.648499999999999</v>
      </c>
      <c r="D439">
        <v>41.415799999999997</v>
      </c>
      <c r="E439">
        <v>41.0334</v>
      </c>
      <c r="F439">
        <v>70387.899999999994</v>
      </c>
      <c r="G439">
        <v>61.75</v>
      </c>
      <c r="H439">
        <v>447.95</v>
      </c>
      <c r="I439">
        <v>0</v>
      </c>
    </row>
    <row r="440" spans="1:9">
      <c r="A440" t="s">
        <v>980</v>
      </c>
      <c r="B440">
        <v>551.447</v>
      </c>
      <c r="C440">
        <v>32.4666</v>
      </c>
      <c r="D440">
        <v>39.8538</v>
      </c>
      <c r="E440">
        <v>38.718000000000004</v>
      </c>
      <c r="F440">
        <v>55311.13</v>
      </c>
      <c r="G440">
        <v>71.44</v>
      </c>
      <c r="H440">
        <v>446.67</v>
      </c>
      <c r="I440">
        <v>0</v>
      </c>
    </row>
    <row r="441" spans="1:9">
      <c r="A441" t="s">
        <v>981</v>
      </c>
      <c r="B441">
        <v>285.18799999999999</v>
      </c>
      <c r="C441">
        <v>47.668900000000001</v>
      </c>
      <c r="D441">
        <v>46.3172</v>
      </c>
      <c r="E441">
        <v>46.238799999999998</v>
      </c>
      <c r="F441">
        <v>11132.82</v>
      </c>
      <c r="G441">
        <v>18.77</v>
      </c>
      <c r="H441">
        <v>501.5</v>
      </c>
      <c r="I441">
        <v>0</v>
      </c>
    </row>
    <row r="442" spans="1:9">
      <c r="A442" t="s">
        <v>982</v>
      </c>
      <c r="B442">
        <v>212.50960000000001</v>
      </c>
      <c r="C442">
        <v>43.503300000000003</v>
      </c>
      <c r="D442">
        <v>42.378399999999999</v>
      </c>
      <c r="E442">
        <v>42.535499999999999</v>
      </c>
      <c r="F442">
        <v>11084.92</v>
      </c>
      <c r="G442">
        <v>18.940000000000001</v>
      </c>
      <c r="H442">
        <v>481.93</v>
      </c>
      <c r="I442">
        <v>0</v>
      </c>
    </row>
    <row r="443" spans="1:9">
      <c r="A443" t="s">
        <v>983</v>
      </c>
      <c r="B443">
        <v>159.14240000000001</v>
      </c>
      <c r="C443">
        <v>38.9589</v>
      </c>
      <c r="D443">
        <v>39.860500000000002</v>
      </c>
      <c r="E443">
        <v>40.275700000000001</v>
      </c>
      <c r="F443">
        <v>10688.4</v>
      </c>
      <c r="G443">
        <v>19.309999999999999</v>
      </c>
      <c r="H443">
        <v>488.62</v>
      </c>
      <c r="I443">
        <v>0</v>
      </c>
    </row>
    <row r="444" spans="1:9">
      <c r="A444" t="s">
        <v>984</v>
      </c>
      <c r="B444">
        <v>115.11199999999999</v>
      </c>
      <c r="C444">
        <v>34.218299999999999</v>
      </c>
      <c r="D444">
        <v>38.405999999999999</v>
      </c>
      <c r="E444">
        <v>38.954799999999999</v>
      </c>
      <c r="F444">
        <v>10409.85</v>
      </c>
      <c r="G444">
        <v>19.39</v>
      </c>
      <c r="H444">
        <v>491.76</v>
      </c>
      <c r="I444">
        <v>0</v>
      </c>
    </row>
    <row r="445" spans="1:9">
      <c r="A445" t="s">
        <v>985</v>
      </c>
      <c r="B445">
        <v>553.9402</v>
      </c>
      <c r="C445">
        <v>49.4422</v>
      </c>
      <c r="D445">
        <v>52.322699999999998</v>
      </c>
      <c r="E445">
        <v>53.582700000000003</v>
      </c>
      <c r="F445">
        <v>43523.12</v>
      </c>
      <c r="G445">
        <v>50.49</v>
      </c>
      <c r="H445">
        <v>503.88</v>
      </c>
      <c r="I445">
        <v>0</v>
      </c>
    </row>
    <row r="446" spans="1:9">
      <c r="A446" t="s">
        <v>986</v>
      </c>
      <c r="B446">
        <v>310.58269999999999</v>
      </c>
      <c r="C446">
        <v>45.521299999999997</v>
      </c>
      <c r="D446">
        <v>49.040100000000002</v>
      </c>
      <c r="E446">
        <v>50.308500000000002</v>
      </c>
      <c r="F446">
        <v>39354.199999999997</v>
      </c>
      <c r="G446">
        <v>44.24</v>
      </c>
      <c r="H446">
        <v>492.7</v>
      </c>
      <c r="I446">
        <v>0</v>
      </c>
    </row>
    <row r="447" spans="1:9">
      <c r="A447" t="s">
        <v>987</v>
      </c>
      <c r="B447">
        <v>182.66239999999999</v>
      </c>
      <c r="C447">
        <v>41.843899999999998</v>
      </c>
      <c r="D447">
        <v>46.644500000000001</v>
      </c>
      <c r="E447">
        <v>48.277099999999997</v>
      </c>
      <c r="F447">
        <v>36326.18</v>
      </c>
      <c r="G447">
        <v>47.94</v>
      </c>
      <c r="H447">
        <v>506.91</v>
      </c>
      <c r="I447">
        <v>0</v>
      </c>
    </row>
    <row r="448" spans="1:9">
      <c r="A448" t="s">
        <v>988</v>
      </c>
      <c r="B448">
        <v>113.1562</v>
      </c>
      <c r="C448">
        <v>38.1327</v>
      </c>
      <c r="D448">
        <v>44.857799999999997</v>
      </c>
      <c r="E448">
        <v>46.504100000000001</v>
      </c>
      <c r="F448">
        <v>32075</v>
      </c>
      <c r="G448">
        <v>49.3</v>
      </c>
      <c r="H448">
        <v>495.84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448"/>
  <sheetViews>
    <sheetView workbookViewId="0">
      <selection sqref="A1:I449"/>
    </sheetView>
  </sheetViews>
  <sheetFormatPr defaultRowHeight="14.25"/>
  <cols>
    <col min="1" max="1" width="76.625" customWidth="1"/>
  </cols>
  <sheetData>
    <row r="1" spans="1:9">
      <c r="A1" t="s">
        <v>989</v>
      </c>
      <c r="B1">
        <v>19815.694100000001</v>
      </c>
      <c r="C1">
        <v>41.480499999999999</v>
      </c>
      <c r="D1">
        <v>49.365000000000002</v>
      </c>
      <c r="E1">
        <v>47.862400000000001</v>
      </c>
      <c r="F1">
        <v>2209.7800000000002</v>
      </c>
      <c r="G1">
        <v>19.72</v>
      </c>
      <c r="H1">
        <v>494.6</v>
      </c>
      <c r="I1">
        <v>0</v>
      </c>
    </row>
    <row r="2" spans="1:9">
      <c r="A2" t="s">
        <v>990</v>
      </c>
      <c r="B2">
        <v>6992.3643000000002</v>
      </c>
      <c r="C2">
        <v>40.155200000000001</v>
      </c>
      <c r="D2">
        <v>47.990200000000002</v>
      </c>
      <c r="E2">
        <v>46.041200000000003</v>
      </c>
      <c r="F2">
        <v>1762.32</v>
      </c>
      <c r="G2">
        <v>14.99</v>
      </c>
      <c r="H2">
        <v>482.71</v>
      </c>
      <c r="I2">
        <v>0</v>
      </c>
    </row>
    <row r="3" spans="1:9">
      <c r="A3" t="s">
        <v>991</v>
      </c>
      <c r="B3">
        <v>3965.5264999999999</v>
      </c>
      <c r="C3">
        <v>39.289400000000001</v>
      </c>
      <c r="D3">
        <v>46.632100000000001</v>
      </c>
      <c r="E3">
        <v>44.414299999999997</v>
      </c>
      <c r="F3">
        <v>1631.13</v>
      </c>
      <c r="G3">
        <v>13.8</v>
      </c>
      <c r="H3">
        <v>482.45</v>
      </c>
      <c r="I3">
        <v>0</v>
      </c>
    </row>
    <row r="4" spans="1:9">
      <c r="A4" t="s">
        <v>992</v>
      </c>
      <c r="B4">
        <v>2368.7723999999998</v>
      </c>
      <c r="C4">
        <v>38.061999999999998</v>
      </c>
      <c r="D4">
        <v>45.489400000000003</v>
      </c>
      <c r="E4">
        <v>43.104399999999998</v>
      </c>
      <c r="F4">
        <v>1588.86</v>
      </c>
      <c r="G4">
        <v>13.37</v>
      </c>
      <c r="H4">
        <v>481.73</v>
      </c>
      <c r="I4">
        <v>0</v>
      </c>
    </row>
    <row r="5" spans="1:9">
      <c r="A5" t="s">
        <v>993</v>
      </c>
      <c r="B5">
        <v>61259.326300000001</v>
      </c>
      <c r="C5">
        <v>45.313800000000001</v>
      </c>
      <c r="D5">
        <v>45.079300000000003</v>
      </c>
      <c r="E5">
        <v>43.4315</v>
      </c>
      <c r="F5">
        <v>2267.98</v>
      </c>
      <c r="G5">
        <v>20.67</v>
      </c>
      <c r="H5">
        <v>457.54</v>
      </c>
      <c r="I5">
        <v>0</v>
      </c>
    </row>
    <row r="6" spans="1:9">
      <c r="A6" t="s">
        <v>994</v>
      </c>
      <c r="B6">
        <v>29702.273700000002</v>
      </c>
      <c r="C6">
        <v>41.364899999999999</v>
      </c>
      <c r="D6">
        <v>42.988</v>
      </c>
      <c r="E6">
        <v>41.231000000000002</v>
      </c>
      <c r="F6">
        <v>1925.73</v>
      </c>
      <c r="G6">
        <v>17.579999999999998</v>
      </c>
      <c r="H6">
        <v>455.07</v>
      </c>
      <c r="I6">
        <v>0</v>
      </c>
    </row>
    <row r="7" spans="1:9">
      <c r="A7" t="s">
        <v>995</v>
      </c>
      <c r="B7">
        <v>15510.5105</v>
      </c>
      <c r="C7">
        <v>38.573</v>
      </c>
      <c r="D7">
        <v>41.387300000000003</v>
      </c>
      <c r="E7">
        <v>39.7791</v>
      </c>
      <c r="F7">
        <v>1717.86</v>
      </c>
      <c r="G7">
        <v>18.239999999999998</v>
      </c>
      <c r="H7">
        <v>453.9</v>
      </c>
      <c r="I7">
        <v>0</v>
      </c>
    </row>
    <row r="8" spans="1:9">
      <c r="A8" t="s">
        <v>996</v>
      </c>
      <c r="B8">
        <v>8345.2657999999992</v>
      </c>
      <c r="C8">
        <v>35.977699999999999</v>
      </c>
      <c r="D8">
        <v>40.165700000000001</v>
      </c>
      <c r="E8">
        <v>38.7577</v>
      </c>
      <c r="F8">
        <v>1589.97</v>
      </c>
      <c r="G8">
        <v>14.11</v>
      </c>
      <c r="H8">
        <v>453.98</v>
      </c>
      <c r="I8">
        <v>0</v>
      </c>
    </row>
    <row r="9" spans="1:9">
      <c r="A9" t="s">
        <v>997</v>
      </c>
      <c r="B9">
        <v>25318.252100000002</v>
      </c>
      <c r="C9">
        <v>42.277799999999999</v>
      </c>
      <c r="D9">
        <v>44.607199999999999</v>
      </c>
      <c r="E9">
        <v>44.268099999999997</v>
      </c>
      <c r="F9">
        <v>2391.42</v>
      </c>
      <c r="G9">
        <v>26.57</v>
      </c>
      <c r="H9">
        <v>466.83</v>
      </c>
      <c r="I9">
        <v>0</v>
      </c>
    </row>
    <row r="10" spans="1:9">
      <c r="A10" t="s">
        <v>998</v>
      </c>
      <c r="B10">
        <v>8635.3783999999996</v>
      </c>
      <c r="C10">
        <v>38.671900000000001</v>
      </c>
      <c r="D10">
        <v>41.104999999999997</v>
      </c>
      <c r="E10">
        <v>41.818300000000001</v>
      </c>
      <c r="F10">
        <v>1867.02</v>
      </c>
      <c r="G10">
        <v>17.75</v>
      </c>
      <c r="H10">
        <v>455.4</v>
      </c>
      <c r="I10">
        <v>0</v>
      </c>
    </row>
    <row r="11" spans="1:9">
      <c r="A11" t="s">
        <v>999</v>
      </c>
      <c r="B11">
        <v>4015.9468000000002</v>
      </c>
      <c r="C11">
        <v>37.142299999999999</v>
      </c>
      <c r="D11">
        <v>38.701099999999997</v>
      </c>
      <c r="E11">
        <v>40.0685</v>
      </c>
      <c r="F11">
        <v>1647.85</v>
      </c>
      <c r="G11">
        <v>16.850000000000001</v>
      </c>
      <c r="H11">
        <v>462.92</v>
      </c>
      <c r="I11">
        <v>0</v>
      </c>
    </row>
    <row r="12" spans="1:9">
      <c r="A12" t="s">
        <v>1000</v>
      </c>
      <c r="B12">
        <v>2198.0288999999998</v>
      </c>
      <c r="C12">
        <v>35.722000000000001</v>
      </c>
      <c r="D12">
        <v>36.991799999999998</v>
      </c>
      <c r="E12">
        <v>38.783499999999997</v>
      </c>
      <c r="F12">
        <v>1515.76</v>
      </c>
      <c r="G12">
        <v>12.99</v>
      </c>
      <c r="H12">
        <v>462.66</v>
      </c>
      <c r="I12">
        <v>0</v>
      </c>
    </row>
    <row r="13" spans="1:9">
      <c r="A13" t="s">
        <v>1001</v>
      </c>
      <c r="B13">
        <v>53190.401100000003</v>
      </c>
      <c r="C13">
        <v>43.284199999999998</v>
      </c>
      <c r="D13">
        <v>47.785800000000002</v>
      </c>
      <c r="E13">
        <v>44.264400000000002</v>
      </c>
      <c r="F13">
        <v>2622.97</v>
      </c>
      <c r="G13">
        <v>26.28</v>
      </c>
      <c r="H13">
        <v>488.37</v>
      </c>
      <c r="I13">
        <v>0</v>
      </c>
    </row>
    <row r="14" spans="1:9">
      <c r="A14" t="s">
        <v>1002</v>
      </c>
      <c r="B14">
        <v>29578.687900000001</v>
      </c>
      <c r="C14">
        <v>39.966200000000001</v>
      </c>
      <c r="D14">
        <v>45.486800000000002</v>
      </c>
      <c r="E14">
        <v>41.631799999999998</v>
      </c>
      <c r="F14">
        <v>2204.19</v>
      </c>
      <c r="G14">
        <v>21.73</v>
      </c>
      <c r="H14">
        <v>487.29</v>
      </c>
      <c r="I14">
        <v>0</v>
      </c>
    </row>
    <row r="15" spans="1:9">
      <c r="A15" t="s">
        <v>1003</v>
      </c>
      <c r="B15">
        <v>16282.1337</v>
      </c>
      <c r="C15">
        <v>36.826300000000003</v>
      </c>
      <c r="D15">
        <v>44.103499999999997</v>
      </c>
      <c r="E15">
        <v>40.244</v>
      </c>
      <c r="F15">
        <v>1955.47</v>
      </c>
      <c r="G15">
        <v>19.04</v>
      </c>
      <c r="H15">
        <v>484.88</v>
      </c>
      <c r="I15">
        <v>0</v>
      </c>
    </row>
    <row r="16" spans="1:9">
      <c r="A16" t="s">
        <v>1004</v>
      </c>
      <c r="B16">
        <v>8447.5167999999994</v>
      </c>
      <c r="C16">
        <v>33.806199999999997</v>
      </c>
      <c r="D16">
        <v>43.210599999999999</v>
      </c>
      <c r="E16">
        <v>39.465699999999998</v>
      </c>
      <c r="F16">
        <v>1761.98</v>
      </c>
      <c r="G16">
        <v>16.22</v>
      </c>
      <c r="H16">
        <v>482.84</v>
      </c>
      <c r="I16">
        <v>0</v>
      </c>
    </row>
    <row r="17" spans="1:9">
      <c r="A17" t="s">
        <v>1005</v>
      </c>
      <c r="B17">
        <v>34969.242599999998</v>
      </c>
      <c r="C17">
        <v>41.872100000000003</v>
      </c>
      <c r="D17">
        <v>42.622700000000002</v>
      </c>
      <c r="E17">
        <v>44.113700000000001</v>
      </c>
      <c r="F17">
        <v>2332.54</v>
      </c>
      <c r="G17">
        <v>24.38</v>
      </c>
      <c r="H17">
        <v>459.74</v>
      </c>
      <c r="I17">
        <v>0</v>
      </c>
    </row>
    <row r="18" spans="1:9">
      <c r="A18" t="s">
        <v>1006</v>
      </c>
      <c r="B18">
        <v>13536.6095</v>
      </c>
      <c r="C18">
        <v>39.719499999999996</v>
      </c>
      <c r="D18">
        <v>41.232599999999998</v>
      </c>
      <c r="E18">
        <v>42.184800000000003</v>
      </c>
      <c r="F18">
        <v>1832.13</v>
      </c>
      <c r="G18">
        <v>17.62</v>
      </c>
      <c r="H18">
        <v>454.21</v>
      </c>
      <c r="I18">
        <v>0</v>
      </c>
    </row>
    <row r="19" spans="1:9">
      <c r="A19" t="s">
        <v>1007</v>
      </c>
      <c r="B19">
        <v>7812.0362999999998</v>
      </c>
      <c r="C19">
        <v>38.250100000000003</v>
      </c>
      <c r="D19">
        <v>40.219000000000001</v>
      </c>
      <c r="E19">
        <v>40.563299999999998</v>
      </c>
      <c r="F19">
        <v>1642.46</v>
      </c>
      <c r="G19">
        <v>17.43</v>
      </c>
      <c r="H19">
        <v>464.45</v>
      </c>
      <c r="I19">
        <v>0</v>
      </c>
    </row>
    <row r="20" spans="1:9">
      <c r="A20" t="s">
        <v>1008</v>
      </c>
      <c r="B20">
        <v>4641.5352999999996</v>
      </c>
      <c r="C20">
        <v>36.301400000000001</v>
      </c>
      <c r="D20">
        <v>39.370899999999999</v>
      </c>
      <c r="E20">
        <v>39.286799999999999</v>
      </c>
      <c r="F20">
        <v>1555.83</v>
      </c>
      <c r="G20">
        <v>14.12</v>
      </c>
      <c r="H20">
        <v>453.15</v>
      </c>
      <c r="I20">
        <v>0</v>
      </c>
    </row>
    <row r="21" spans="1:9">
      <c r="A21" t="s">
        <v>1009</v>
      </c>
      <c r="B21">
        <v>13682.9874</v>
      </c>
      <c r="C21">
        <v>40.566499999999998</v>
      </c>
      <c r="D21">
        <v>47.155900000000003</v>
      </c>
      <c r="E21">
        <v>46.942900000000002</v>
      </c>
      <c r="F21">
        <v>2299.39</v>
      </c>
      <c r="G21">
        <v>22.52</v>
      </c>
      <c r="H21">
        <v>456.87</v>
      </c>
      <c r="I21">
        <v>0</v>
      </c>
    </row>
    <row r="22" spans="1:9">
      <c r="A22" t="s">
        <v>1010</v>
      </c>
      <c r="B22">
        <v>5948.0882000000001</v>
      </c>
      <c r="C22">
        <v>39.041200000000003</v>
      </c>
      <c r="D22">
        <v>45.137300000000003</v>
      </c>
      <c r="E22">
        <v>45.187100000000001</v>
      </c>
      <c r="F22">
        <v>1842.34</v>
      </c>
      <c r="G22">
        <v>18.75</v>
      </c>
      <c r="H22">
        <v>454.65</v>
      </c>
      <c r="I22">
        <v>0</v>
      </c>
    </row>
    <row r="23" spans="1:9">
      <c r="A23" t="s">
        <v>1011</v>
      </c>
      <c r="B23">
        <v>3080.5003000000002</v>
      </c>
      <c r="C23">
        <v>37.612699999999997</v>
      </c>
      <c r="D23">
        <v>43.5929</v>
      </c>
      <c r="E23">
        <v>43.633699999999997</v>
      </c>
      <c r="F23">
        <v>1613.06</v>
      </c>
      <c r="G23">
        <v>16.04</v>
      </c>
      <c r="H23">
        <v>464.65</v>
      </c>
      <c r="I23">
        <v>0</v>
      </c>
    </row>
    <row r="24" spans="1:9">
      <c r="A24" t="s">
        <v>1012</v>
      </c>
      <c r="B24">
        <v>1651.1574000000001</v>
      </c>
      <c r="C24">
        <v>35.901699999999998</v>
      </c>
      <c r="D24">
        <v>42.492199999999997</v>
      </c>
      <c r="E24">
        <v>42.3992</v>
      </c>
      <c r="F24">
        <v>1532.3</v>
      </c>
      <c r="G24">
        <v>13.67</v>
      </c>
      <c r="H24">
        <v>453.13</v>
      </c>
      <c r="I24">
        <v>0</v>
      </c>
    </row>
    <row r="25" spans="1:9">
      <c r="A25" t="s">
        <v>1013</v>
      </c>
      <c r="B25">
        <v>52650.911099999998</v>
      </c>
      <c r="C25">
        <v>40.5276</v>
      </c>
      <c r="D25">
        <v>46.385399999999997</v>
      </c>
      <c r="E25">
        <v>44.706499999999998</v>
      </c>
      <c r="F25">
        <v>2671.59</v>
      </c>
      <c r="G25">
        <v>29.07</v>
      </c>
      <c r="H25">
        <v>459.99</v>
      </c>
      <c r="I25">
        <v>0</v>
      </c>
    </row>
    <row r="26" spans="1:9">
      <c r="A26" t="s">
        <v>1014</v>
      </c>
      <c r="B26">
        <v>13395.882600000001</v>
      </c>
      <c r="C26">
        <v>37.675899999999999</v>
      </c>
      <c r="D26">
        <v>44.707099999999997</v>
      </c>
      <c r="E26">
        <v>42.841000000000001</v>
      </c>
      <c r="F26">
        <v>1905.19</v>
      </c>
      <c r="G26">
        <v>18.18</v>
      </c>
      <c r="H26">
        <v>454.46</v>
      </c>
      <c r="I26">
        <v>0</v>
      </c>
    </row>
    <row r="27" spans="1:9">
      <c r="A27" t="s">
        <v>1015</v>
      </c>
      <c r="B27">
        <v>7248.2811000000002</v>
      </c>
      <c r="C27">
        <v>36.542000000000002</v>
      </c>
      <c r="D27">
        <v>43.219299999999997</v>
      </c>
      <c r="E27">
        <v>41.309800000000003</v>
      </c>
      <c r="F27">
        <v>1620.53</v>
      </c>
      <c r="G27">
        <v>15.58</v>
      </c>
      <c r="H27">
        <v>462.86</v>
      </c>
      <c r="I27">
        <v>0</v>
      </c>
    </row>
    <row r="28" spans="1:9">
      <c r="A28" t="s">
        <v>1016</v>
      </c>
      <c r="B28">
        <v>4021.0374000000002</v>
      </c>
      <c r="C28">
        <v>35.005899999999997</v>
      </c>
      <c r="D28">
        <v>42.1282</v>
      </c>
      <c r="E28">
        <v>40.205599999999997</v>
      </c>
      <c r="F28">
        <v>1537.23</v>
      </c>
      <c r="G28">
        <v>14.26</v>
      </c>
      <c r="H28">
        <v>453.42</v>
      </c>
      <c r="I28">
        <v>0</v>
      </c>
    </row>
    <row r="29" spans="1:9">
      <c r="A29" t="s">
        <v>1017</v>
      </c>
      <c r="B29">
        <v>14417.6811</v>
      </c>
      <c r="C29">
        <v>46.903300000000002</v>
      </c>
      <c r="D29">
        <v>48.656199999999998</v>
      </c>
      <c r="E29">
        <v>47.4161</v>
      </c>
      <c r="F29">
        <v>1928.19</v>
      </c>
      <c r="G29">
        <v>19.260000000000002</v>
      </c>
      <c r="H29">
        <v>483.99</v>
      </c>
      <c r="I29">
        <v>0</v>
      </c>
    </row>
    <row r="30" spans="1:9">
      <c r="A30" t="s">
        <v>1018</v>
      </c>
      <c r="B30">
        <v>7655.8279000000002</v>
      </c>
      <c r="C30">
        <v>44.724499999999999</v>
      </c>
      <c r="D30">
        <v>46.2134</v>
      </c>
      <c r="E30">
        <v>45.085700000000003</v>
      </c>
      <c r="F30">
        <v>1759.89</v>
      </c>
      <c r="G30">
        <v>16.96</v>
      </c>
      <c r="H30">
        <v>484.1</v>
      </c>
      <c r="I30">
        <v>0</v>
      </c>
    </row>
    <row r="31" spans="1:9">
      <c r="A31" t="s">
        <v>1019</v>
      </c>
      <c r="B31">
        <v>4418.8657999999996</v>
      </c>
      <c r="C31">
        <v>42.378500000000003</v>
      </c>
      <c r="D31">
        <v>44.286799999999999</v>
      </c>
      <c r="E31">
        <v>43.644100000000002</v>
      </c>
      <c r="F31">
        <v>1673.17</v>
      </c>
      <c r="G31">
        <v>15.29</v>
      </c>
      <c r="H31">
        <v>482.3</v>
      </c>
      <c r="I31">
        <v>0</v>
      </c>
    </row>
    <row r="32" spans="1:9">
      <c r="A32" t="s">
        <v>1020</v>
      </c>
      <c r="B32">
        <v>2595.0047</v>
      </c>
      <c r="C32">
        <v>39.833399999999997</v>
      </c>
      <c r="D32">
        <v>42.761000000000003</v>
      </c>
      <c r="E32">
        <v>42.563000000000002</v>
      </c>
      <c r="F32">
        <v>1582.13</v>
      </c>
      <c r="G32">
        <v>14.24</v>
      </c>
      <c r="H32">
        <v>482.41</v>
      </c>
      <c r="I32">
        <v>0</v>
      </c>
    </row>
    <row r="33" spans="1:9">
      <c r="A33" t="s">
        <v>1021</v>
      </c>
      <c r="B33">
        <v>2722.6143999999999</v>
      </c>
      <c r="C33">
        <v>42.810299999999998</v>
      </c>
      <c r="D33">
        <v>44.554299999999998</v>
      </c>
      <c r="E33">
        <v>46.108600000000003</v>
      </c>
      <c r="F33">
        <v>424.2</v>
      </c>
      <c r="G33">
        <v>3.8</v>
      </c>
      <c r="H33">
        <v>125.71</v>
      </c>
      <c r="I33">
        <v>0</v>
      </c>
    </row>
    <row r="34" spans="1:9">
      <c r="A34" t="s">
        <v>1022</v>
      </c>
      <c r="B34">
        <v>1499.6063999999999</v>
      </c>
      <c r="C34">
        <v>41.113</v>
      </c>
      <c r="D34">
        <v>42.652500000000003</v>
      </c>
      <c r="E34">
        <v>43.687199999999997</v>
      </c>
      <c r="F34">
        <v>361.72</v>
      </c>
      <c r="G34">
        <v>3.61</v>
      </c>
      <c r="H34">
        <v>131.54</v>
      </c>
      <c r="I34">
        <v>0</v>
      </c>
    </row>
    <row r="35" spans="1:9">
      <c r="A35" t="s">
        <v>1023</v>
      </c>
      <c r="B35">
        <v>849.12639999999999</v>
      </c>
      <c r="C35">
        <v>39.030200000000001</v>
      </c>
      <c r="D35">
        <v>41.174599999999998</v>
      </c>
      <c r="E35">
        <v>42.12</v>
      </c>
      <c r="F35">
        <v>327.66000000000003</v>
      </c>
      <c r="G35">
        <v>2.97</v>
      </c>
      <c r="H35">
        <v>124.68</v>
      </c>
      <c r="I35">
        <v>0</v>
      </c>
    </row>
    <row r="36" spans="1:9">
      <c r="A36" t="s">
        <v>1024</v>
      </c>
      <c r="B36">
        <v>475.39120000000003</v>
      </c>
      <c r="C36">
        <v>36.572000000000003</v>
      </c>
      <c r="D36">
        <v>40.1053</v>
      </c>
      <c r="E36">
        <v>41.191200000000002</v>
      </c>
      <c r="F36">
        <v>303.7</v>
      </c>
      <c r="G36">
        <v>2.56</v>
      </c>
      <c r="H36">
        <v>126.38</v>
      </c>
      <c r="I36">
        <v>0</v>
      </c>
    </row>
    <row r="37" spans="1:9">
      <c r="A37" t="s">
        <v>1025</v>
      </c>
      <c r="B37">
        <v>6542.1808000000001</v>
      </c>
      <c r="C37">
        <v>41.73</v>
      </c>
      <c r="D37">
        <v>43.272300000000001</v>
      </c>
      <c r="E37">
        <v>44.146999999999998</v>
      </c>
      <c r="F37">
        <v>518.37</v>
      </c>
      <c r="G37">
        <v>5.78</v>
      </c>
      <c r="H37">
        <v>131.80000000000001</v>
      </c>
      <c r="I37">
        <v>0</v>
      </c>
    </row>
    <row r="38" spans="1:9">
      <c r="A38" t="s">
        <v>1026</v>
      </c>
      <c r="B38">
        <v>3551.8256000000001</v>
      </c>
      <c r="C38">
        <v>38.622900000000001</v>
      </c>
      <c r="D38">
        <v>40.5869</v>
      </c>
      <c r="E38">
        <v>41.324300000000001</v>
      </c>
      <c r="F38">
        <v>432.7</v>
      </c>
      <c r="G38">
        <v>4.74</v>
      </c>
      <c r="H38">
        <v>127.63</v>
      </c>
      <c r="I38">
        <v>0</v>
      </c>
    </row>
    <row r="39" spans="1:9">
      <c r="A39" t="s">
        <v>1027</v>
      </c>
      <c r="B39">
        <v>1845.7896000000001</v>
      </c>
      <c r="C39">
        <v>35.6066</v>
      </c>
      <c r="D39">
        <v>38.645299999999999</v>
      </c>
      <c r="E39">
        <v>39.706000000000003</v>
      </c>
      <c r="F39">
        <v>377.07</v>
      </c>
      <c r="G39">
        <v>4.4000000000000004</v>
      </c>
      <c r="H39">
        <v>124.95</v>
      </c>
      <c r="I39">
        <v>0</v>
      </c>
    </row>
    <row r="40" spans="1:9">
      <c r="A40" t="s">
        <v>1028</v>
      </c>
      <c r="B40">
        <v>907.92719999999997</v>
      </c>
      <c r="C40">
        <v>32.775300000000001</v>
      </c>
      <c r="D40">
        <v>37.373899999999999</v>
      </c>
      <c r="E40">
        <v>38.846899999999998</v>
      </c>
      <c r="F40">
        <v>330.03</v>
      </c>
      <c r="G40">
        <v>3.28</v>
      </c>
      <c r="H40">
        <v>127.03</v>
      </c>
      <c r="I40">
        <v>0</v>
      </c>
    </row>
    <row r="41" spans="1:9">
      <c r="A41" t="s">
        <v>1029</v>
      </c>
      <c r="B41">
        <v>13031.891299999999</v>
      </c>
      <c r="C41">
        <v>40.601500000000001</v>
      </c>
      <c r="D41">
        <v>41.696199999999997</v>
      </c>
      <c r="E41">
        <v>44.221200000000003</v>
      </c>
      <c r="F41">
        <v>1102.72</v>
      </c>
      <c r="G41">
        <v>12.14</v>
      </c>
      <c r="H41">
        <v>131.88</v>
      </c>
      <c r="I41">
        <v>0</v>
      </c>
    </row>
    <row r="42" spans="1:9">
      <c r="A42" t="s">
        <v>1030</v>
      </c>
      <c r="B42">
        <v>6042.6778000000004</v>
      </c>
      <c r="C42">
        <v>37.954500000000003</v>
      </c>
      <c r="D42">
        <v>39.4176</v>
      </c>
      <c r="E42">
        <v>42.005499999999998</v>
      </c>
      <c r="F42">
        <v>881.42</v>
      </c>
      <c r="G42">
        <v>9.33</v>
      </c>
      <c r="H42">
        <v>125.73</v>
      </c>
      <c r="I42">
        <v>0</v>
      </c>
    </row>
    <row r="43" spans="1:9">
      <c r="A43" t="s">
        <v>1031</v>
      </c>
      <c r="B43">
        <v>3275.5452</v>
      </c>
      <c r="C43">
        <v>35.687899999999999</v>
      </c>
      <c r="D43">
        <v>38.308599999999998</v>
      </c>
      <c r="E43">
        <v>40.248600000000003</v>
      </c>
      <c r="F43">
        <v>753.73</v>
      </c>
      <c r="G43">
        <v>7.81</v>
      </c>
      <c r="H43">
        <v>125.08</v>
      </c>
      <c r="I43">
        <v>0</v>
      </c>
    </row>
    <row r="44" spans="1:9">
      <c r="A44" t="s">
        <v>1032</v>
      </c>
      <c r="B44">
        <v>1772.4713999999999</v>
      </c>
      <c r="C44">
        <v>33.236699999999999</v>
      </c>
      <c r="D44">
        <v>37.460599999999999</v>
      </c>
      <c r="E44">
        <v>38.9313</v>
      </c>
      <c r="F44">
        <v>690.93</v>
      </c>
      <c r="G44">
        <v>6.6</v>
      </c>
      <c r="H44">
        <v>124.7</v>
      </c>
      <c r="I44">
        <v>0</v>
      </c>
    </row>
    <row r="45" spans="1:9">
      <c r="A45" t="s">
        <v>1033</v>
      </c>
      <c r="B45">
        <v>8730.6810000000005</v>
      </c>
      <c r="C45">
        <v>41.309199999999997</v>
      </c>
      <c r="D45">
        <v>44.4726</v>
      </c>
      <c r="E45">
        <v>46.0916</v>
      </c>
      <c r="F45">
        <v>1008.25</v>
      </c>
      <c r="G45">
        <v>10.95</v>
      </c>
      <c r="H45">
        <v>132</v>
      </c>
      <c r="I45">
        <v>0</v>
      </c>
    </row>
    <row r="46" spans="1:9">
      <c r="A46" t="s">
        <v>1034</v>
      </c>
      <c r="B46">
        <v>3594.4214000000002</v>
      </c>
      <c r="C46">
        <v>38.751600000000003</v>
      </c>
      <c r="D46">
        <v>42.9039</v>
      </c>
      <c r="E46">
        <v>43.801499999999997</v>
      </c>
      <c r="F46">
        <v>799.93</v>
      </c>
      <c r="G46">
        <v>7.88</v>
      </c>
      <c r="H46">
        <v>131.62</v>
      </c>
      <c r="I46">
        <v>0</v>
      </c>
    </row>
    <row r="47" spans="1:9">
      <c r="A47" t="s">
        <v>1035</v>
      </c>
      <c r="B47">
        <v>1878.2429</v>
      </c>
      <c r="C47">
        <v>36.970199999999998</v>
      </c>
      <c r="D47">
        <v>41.478299999999997</v>
      </c>
      <c r="E47">
        <v>41.832099999999997</v>
      </c>
      <c r="F47">
        <v>724.2</v>
      </c>
      <c r="G47">
        <v>6.9</v>
      </c>
      <c r="H47">
        <v>126.38</v>
      </c>
      <c r="I47">
        <v>0</v>
      </c>
    </row>
    <row r="48" spans="1:9">
      <c r="A48" t="s">
        <v>1036</v>
      </c>
      <c r="B48">
        <v>1048.4056</v>
      </c>
      <c r="C48">
        <v>34.978999999999999</v>
      </c>
      <c r="D48">
        <v>40.341200000000001</v>
      </c>
      <c r="E48">
        <v>40.372599999999998</v>
      </c>
      <c r="F48">
        <v>654.54</v>
      </c>
      <c r="G48">
        <v>6.05</v>
      </c>
      <c r="H48">
        <v>129.51</v>
      </c>
      <c r="I48">
        <v>0</v>
      </c>
    </row>
    <row r="49" spans="1:9">
      <c r="A49" t="s">
        <v>1037</v>
      </c>
      <c r="B49">
        <v>22411.133600000001</v>
      </c>
      <c r="C49">
        <v>42.488999999999997</v>
      </c>
      <c r="D49">
        <v>42.719499999999996</v>
      </c>
      <c r="E49">
        <v>44.5105</v>
      </c>
      <c r="F49">
        <v>1408.45</v>
      </c>
      <c r="G49">
        <v>16.75</v>
      </c>
      <c r="H49">
        <v>129.97999999999999</v>
      </c>
      <c r="I49">
        <v>0</v>
      </c>
    </row>
    <row r="50" spans="1:9">
      <c r="A50" t="s">
        <v>1038</v>
      </c>
      <c r="B50">
        <v>9860.9680000000008</v>
      </c>
      <c r="C50">
        <v>37.105200000000004</v>
      </c>
      <c r="D50">
        <v>40.741799999999998</v>
      </c>
      <c r="E50">
        <v>42.943899999999999</v>
      </c>
      <c r="F50">
        <v>1128.47</v>
      </c>
      <c r="G50">
        <v>12.1</v>
      </c>
      <c r="H50">
        <v>125.56</v>
      </c>
      <c r="I50">
        <v>0</v>
      </c>
    </row>
    <row r="51" spans="1:9">
      <c r="A51" t="s">
        <v>1039</v>
      </c>
      <c r="B51">
        <v>5016.9632000000001</v>
      </c>
      <c r="C51">
        <v>34.4666</v>
      </c>
      <c r="D51">
        <v>39.252899999999997</v>
      </c>
      <c r="E51">
        <v>41.670099999999998</v>
      </c>
      <c r="F51">
        <v>961.43</v>
      </c>
      <c r="G51">
        <v>10.15</v>
      </c>
      <c r="H51">
        <v>127.53</v>
      </c>
      <c r="I51">
        <v>0</v>
      </c>
    </row>
    <row r="52" spans="1:9">
      <c r="A52" t="s">
        <v>1040</v>
      </c>
      <c r="B52">
        <v>2703.7431999999999</v>
      </c>
      <c r="C52">
        <v>31.985099999999999</v>
      </c>
      <c r="D52">
        <v>38.227899999999998</v>
      </c>
      <c r="E52">
        <v>40.7119</v>
      </c>
      <c r="F52">
        <v>838.15</v>
      </c>
      <c r="G52">
        <v>8.52</v>
      </c>
      <c r="H52">
        <v>124.1</v>
      </c>
      <c r="I52">
        <v>0</v>
      </c>
    </row>
    <row r="53" spans="1:9">
      <c r="A53" t="s">
        <v>1041</v>
      </c>
      <c r="B53">
        <v>2590.6071000000002</v>
      </c>
      <c r="C53">
        <v>41.814799999999998</v>
      </c>
      <c r="D53">
        <v>43.849800000000002</v>
      </c>
      <c r="E53">
        <v>44.480699999999999</v>
      </c>
      <c r="F53">
        <v>262.89999999999998</v>
      </c>
      <c r="G53">
        <v>3.2</v>
      </c>
      <c r="H53">
        <v>33.65</v>
      </c>
      <c r="I53">
        <v>0</v>
      </c>
    </row>
    <row r="54" spans="1:9">
      <c r="A54" t="s">
        <v>1042</v>
      </c>
      <c r="B54">
        <v>1408.723</v>
      </c>
      <c r="C54">
        <v>38.380200000000002</v>
      </c>
      <c r="D54">
        <v>40.976100000000002</v>
      </c>
      <c r="E54">
        <v>41.196599999999997</v>
      </c>
      <c r="F54">
        <v>219.76</v>
      </c>
      <c r="G54">
        <v>2.57</v>
      </c>
      <c r="H54">
        <v>32.81</v>
      </c>
      <c r="I54">
        <v>0</v>
      </c>
    </row>
    <row r="55" spans="1:9">
      <c r="A55" t="s">
        <v>1043</v>
      </c>
      <c r="B55">
        <v>753.94129999999996</v>
      </c>
      <c r="C55">
        <v>35.383800000000001</v>
      </c>
      <c r="D55">
        <v>38.669899999999998</v>
      </c>
      <c r="E55">
        <v>38.647199999999998</v>
      </c>
      <c r="F55">
        <v>190.57</v>
      </c>
      <c r="G55">
        <v>2.14</v>
      </c>
      <c r="H55">
        <v>33.299999999999997</v>
      </c>
      <c r="I55">
        <v>0</v>
      </c>
    </row>
    <row r="56" spans="1:9">
      <c r="A56" t="s">
        <v>1044</v>
      </c>
      <c r="B56">
        <v>413.84050000000002</v>
      </c>
      <c r="C56">
        <v>32.6952</v>
      </c>
      <c r="D56">
        <v>37.045000000000002</v>
      </c>
      <c r="E56">
        <v>36.827500000000001</v>
      </c>
      <c r="F56">
        <v>169.61</v>
      </c>
      <c r="G56">
        <v>1.81</v>
      </c>
      <c r="H56">
        <v>33.299999999999997</v>
      </c>
      <c r="I56">
        <v>0</v>
      </c>
    </row>
    <row r="57" spans="1:9">
      <c r="A57" t="s">
        <v>1045</v>
      </c>
      <c r="B57">
        <v>2899.6320000000001</v>
      </c>
      <c r="C57">
        <v>41.993600000000001</v>
      </c>
      <c r="D57">
        <v>44.072699999999998</v>
      </c>
      <c r="E57">
        <v>45.497799999999998</v>
      </c>
      <c r="F57">
        <v>303.73</v>
      </c>
      <c r="G57">
        <v>3.48</v>
      </c>
      <c r="H57">
        <v>34.04</v>
      </c>
      <c r="I57">
        <v>0</v>
      </c>
    </row>
    <row r="58" spans="1:9">
      <c r="A58" t="s">
        <v>1046</v>
      </c>
      <c r="B58">
        <v>1734.7528</v>
      </c>
      <c r="C58">
        <v>39.052300000000002</v>
      </c>
      <c r="D58">
        <v>41.594799999999999</v>
      </c>
      <c r="E58">
        <v>42.740400000000001</v>
      </c>
      <c r="F58">
        <v>266.08</v>
      </c>
      <c r="G58">
        <v>2.92</v>
      </c>
      <c r="H58">
        <v>34.06</v>
      </c>
      <c r="I58">
        <v>0</v>
      </c>
    </row>
    <row r="59" spans="1:9">
      <c r="A59" t="s">
        <v>1047</v>
      </c>
      <c r="B59">
        <v>1021.712</v>
      </c>
      <c r="C59">
        <v>35.964599999999997</v>
      </c>
      <c r="D59">
        <v>39.648899999999998</v>
      </c>
      <c r="E59">
        <v>40.618400000000001</v>
      </c>
      <c r="F59">
        <v>233.81</v>
      </c>
      <c r="G59">
        <v>2.54</v>
      </c>
      <c r="H59">
        <v>32.94</v>
      </c>
      <c r="I59">
        <v>0</v>
      </c>
    </row>
    <row r="60" spans="1:9">
      <c r="A60" t="s">
        <v>1048</v>
      </c>
      <c r="B60">
        <v>582.43039999999996</v>
      </c>
      <c r="C60">
        <v>32.851700000000001</v>
      </c>
      <c r="D60">
        <v>38.216200000000001</v>
      </c>
      <c r="E60">
        <v>39.111199999999997</v>
      </c>
      <c r="F60">
        <v>206.8</v>
      </c>
      <c r="G60">
        <v>2.11</v>
      </c>
      <c r="H60">
        <v>32.89</v>
      </c>
      <c r="I60">
        <v>0</v>
      </c>
    </row>
    <row r="61" spans="1:9">
      <c r="A61" t="s">
        <v>1049</v>
      </c>
      <c r="B61">
        <v>5474.0547999999999</v>
      </c>
      <c r="C61">
        <v>41.1203</v>
      </c>
      <c r="D61">
        <v>42.517899999999997</v>
      </c>
      <c r="E61">
        <v>43.3752</v>
      </c>
      <c r="F61">
        <v>318.45999999999998</v>
      </c>
      <c r="G61">
        <v>4.09</v>
      </c>
      <c r="H61">
        <v>33.68</v>
      </c>
      <c r="I61">
        <v>0</v>
      </c>
    </row>
    <row r="62" spans="1:9">
      <c r="A62" t="s">
        <v>1050</v>
      </c>
      <c r="B62">
        <v>3397.2905000000001</v>
      </c>
      <c r="C62">
        <v>36.878700000000002</v>
      </c>
      <c r="D62">
        <v>39.219499999999996</v>
      </c>
      <c r="E62">
        <v>39.991999999999997</v>
      </c>
      <c r="F62">
        <v>277.77999999999997</v>
      </c>
      <c r="G62">
        <v>3.42</v>
      </c>
      <c r="H62">
        <v>33.31</v>
      </c>
      <c r="I62">
        <v>0</v>
      </c>
    </row>
    <row r="63" spans="1:9">
      <c r="A63" t="s">
        <v>1051</v>
      </c>
      <c r="B63">
        <v>2025.2397000000001</v>
      </c>
      <c r="C63">
        <v>33.052500000000002</v>
      </c>
      <c r="D63">
        <v>37.004300000000001</v>
      </c>
      <c r="E63">
        <v>37.659100000000002</v>
      </c>
      <c r="F63">
        <v>242.14</v>
      </c>
      <c r="G63">
        <v>2.93</v>
      </c>
      <c r="H63">
        <v>33.020000000000003</v>
      </c>
      <c r="I63">
        <v>0</v>
      </c>
    </row>
    <row r="64" spans="1:9">
      <c r="A64" t="s">
        <v>1052</v>
      </c>
      <c r="B64">
        <v>1097.3198</v>
      </c>
      <c r="C64">
        <v>29.352499999999999</v>
      </c>
      <c r="D64">
        <v>35.488700000000001</v>
      </c>
      <c r="E64">
        <v>36.112900000000003</v>
      </c>
      <c r="F64">
        <v>208.44</v>
      </c>
      <c r="G64">
        <v>2.4</v>
      </c>
      <c r="H64">
        <v>33.270000000000003</v>
      </c>
      <c r="I64">
        <v>0</v>
      </c>
    </row>
    <row r="65" spans="1:9">
      <c r="A65" t="s">
        <v>1053</v>
      </c>
      <c r="B65">
        <v>1870.6674</v>
      </c>
      <c r="C65">
        <v>42.3705</v>
      </c>
      <c r="D65">
        <v>43.524500000000003</v>
      </c>
      <c r="E65">
        <v>44.389299999999999</v>
      </c>
      <c r="F65">
        <v>159.93</v>
      </c>
      <c r="G65">
        <v>1.85</v>
      </c>
      <c r="H65">
        <v>34.53</v>
      </c>
      <c r="I65">
        <v>0</v>
      </c>
    </row>
    <row r="66" spans="1:9">
      <c r="A66" t="s">
        <v>1054</v>
      </c>
      <c r="B66">
        <v>1125.1445000000001</v>
      </c>
      <c r="C66">
        <v>38.936999999999998</v>
      </c>
      <c r="D66">
        <v>40.1631</v>
      </c>
      <c r="E66">
        <v>41.583500000000001</v>
      </c>
      <c r="F66">
        <v>138.5</v>
      </c>
      <c r="G66">
        <v>1.53</v>
      </c>
      <c r="H66">
        <v>33.97</v>
      </c>
      <c r="I66">
        <v>0</v>
      </c>
    </row>
    <row r="67" spans="1:9">
      <c r="A67" t="s">
        <v>1055</v>
      </c>
      <c r="B67">
        <v>638.98260000000005</v>
      </c>
      <c r="C67">
        <v>35.484299999999998</v>
      </c>
      <c r="D67">
        <v>37.776299999999999</v>
      </c>
      <c r="E67">
        <v>39.592300000000002</v>
      </c>
      <c r="F67">
        <v>119.67</v>
      </c>
      <c r="G67">
        <v>1.28</v>
      </c>
      <c r="H67">
        <v>33.6</v>
      </c>
      <c r="I67">
        <v>0</v>
      </c>
    </row>
    <row r="68" spans="1:9">
      <c r="A68" t="s">
        <v>1056</v>
      </c>
      <c r="B68">
        <v>322.35950000000003</v>
      </c>
      <c r="C68">
        <v>32.084899999999998</v>
      </c>
      <c r="D68">
        <v>36.340499999999999</v>
      </c>
      <c r="E68">
        <v>38.132100000000001</v>
      </c>
      <c r="F68">
        <v>106.7</v>
      </c>
      <c r="G68">
        <v>1.1000000000000001</v>
      </c>
      <c r="H68">
        <v>32.75</v>
      </c>
      <c r="I68">
        <v>0</v>
      </c>
    </row>
    <row r="69" spans="1:9">
      <c r="A69" t="s">
        <v>1057</v>
      </c>
      <c r="B69">
        <v>661.36030000000005</v>
      </c>
      <c r="C69">
        <v>43.067399999999999</v>
      </c>
      <c r="D69">
        <v>45.134999999999998</v>
      </c>
      <c r="E69">
        <v>44.930700000000002</v>
      </c>
      <c r="F69">
        <v>62.21</v>
      </c>
      <c r="G69">
        <v>0.74</v>
      </c>
      <c r="H69">
        <v>14.3</v>
      </c>
      <c r="I69">
        <v>0</v>
      </c>
    </row>
    <row r="70" spans="1:9">
      <c r="A70" t="s">
        <v>1058</v>
      </c>
      <c r="B70">
        <v>394.4556</v>
      </c>
      <c r="C70">
        <v>39.429499999999997</v>
      </c>
      <c r="D70">
        <v>41.960700000000003</v>
      </c>
      <c r="E70">
        <v>41.502499999999998</v>
      </c>
      <c r="F70">
        <v>54.01</v>
      </c>
      <c r="G70">
        <v>0.63</v>
      </c>
      <c r="H70">
        <v>15.01</v>
      </c>
      <c r="I70">
        <v>0</v>
      </c>
    </row>
    <row r="71" spans="1:9">
      <c r="A71" t="s">
        <v>1059</v>
      </c>
      <c r="B71">
        <v>225.65559999999999</v>
      </c>
      <c r="C71">
        <v>35.988999999999997</v>
      </c>
      <c r="D71">
        <v>39.578200000000002</v>
      </c>
      <c r="E71">
        <v>38.913600000000002</v>
      </c>
      <c r="F71">
        <v>47.63</v>
      </c>
      <c r="G71">
        <v>0.54</v>
      </c>
      <c r="H71">
        <v>15.5</v>
      </c>
      <c r="I71">
        <v>0</v>
      </c>
    </row>
    <row r="72" spans="1:9">
      <c r="A72" t="s">
        <v>1060</v>
      </c>
      <c r="B72">
        <v>125.7103</v>
      </c>
      <c r="C72">
        <v>32.797600000000003</v>
      </c>
      <c r="D72">
        <v>37.918300000000002</v>
      </c>
      <c r="E72">
        <v>37.074300000000001</v>
      </c>
      <c r="F72">
        <v>42.76</v>
      </c>
      <c r="G72">
        <v>0.45</v>
      </c>
      <c r="H72">
        <v>15.48</v>
      </c>
      <c r="I72">
        <v>0</v>
      </c>
    </row>
    <row r="73" spans="1:9">
      <c r="A73" t="s">
        <v>1061</v>
      </c>
      <c r="B73">
        <v>1622.8624</v>
      </c>
      <c r="C73">
        <v>41.258699999999997</v>
      </c>
      <c r="D73">
        <v>43.2712</v>
      </c>
      <c r="E73">
        <v>44.254600000000003</v>
      </c>
      <c r="F73">
        <v>89.3</v>
      </c>
      <c r="G73">
        <v>1.17</v>
      </c>
      <c r="H73">
        <v>15.66</v>
      </c>
      <c r="I73">
        <v>0</v>
      </c>
    </row>
    <row r="74" spans="1:9">
      <c r="A74" t="s">
        <v>1062</v>
      </c>
      <c r="B74">
        <v>1030.6048000000001</v>
      </c>
      <c r="C74">
        <v>36.816000000000003</v>
      </c>
      <c r="D74">
        <v>40.595999999999997</v>
      </c>
      <c r="E74">
        <v>41.603099999999998</v>
      </c>
      <c r="F74">
        <v>78.89</v>
      </c>
      <c r="G74">
        <v>0.98</v>
      </c>
      <c r="H74">
        <v>15.05</v>
      </c>
      <c r="I74">
        <v>0</v>
      </c>
    </row>
    <row r="75" spans="1:9">
      <c r="A75" t="s">
        <v>1063</v>
      </c>
      <c r="B75">
        <v>634.25760000000002</v>
      </c>
      <c r="C75">
        <v>32.985300000000002</v>
      </c>
      <c r="D75">
        <v>38.962600000000002</v>
      </c>
      <c r="E75">
        <v>39.8035</v>
      </c>
      <c r="F75">
        <v>67.84</v>
      </c>
      <c r="G75">
        <v>0.83</v>
      </c>
      <c r="H75">
        <v>14.47</v>
      </c>
      <c r="I75">
        <v>0</v>
      </c>
    </row>
    <row r="76" spans="1:9">
      <c r="A76" t="s">
        <v>1064</v>
      </c>
      <c r="B76">
        <v>375.87439999999998</v>
      </c>
      <c r="C76">
        <v>29.406199999999998</v>
      </c>
      <c r="D76">
        <v>37.8765</v>
      </c>
      <c r="E76">
        <v>38.530099999999997</v>
      </c>
      <c r="F76">
        <v>59.5</v>
      </c>
      <c r="G76">
        <v>0.72</v>
      </c>
      <c r="H76">
        <v>14.63</v>
      </c>
      <c r="I76">
        <v>0</v>
      </c>
    </row>
    <row r="77" spans="1:9">
      <c r="A77" t="s">
        <v>1065</v>
      </c>
      <c r="B77">
        <v>1427.1913</v>
      </c>
      <c r="C77">
        <v>41.074399999999997</v>
      </c>
      <c r="D77">
        <v>42.170499999999997</v>
      </c>
      <c r="E77">
        <v>42.881799999999998</v>
      </c>
      <c r="F77">
        <v>77.959999999999994</v>
      </c>
      <c r="G77">
        <v>1.08</v>
      </c>
      <c r="H77">
        <v>15.26</v>
      </c>
      <c r="I77">
        <v>0</v>
      </c>
    </row>
    <row r="78" spans="1:9">
      <c r="A78" t="s">
        <v>1066</v>
      </c>
      <c r="B78">
        <v>880.0317</v>
      </c>
      <c r="C78">
        <v>36.724800000000002</v>
      </c>
      <c r="D78">
        <v>38.9373</v>
      </c>
      <c r="E78">
        <v>39.445500000000003</v>
      </c>
      <c r="F78">
        <v>69.88</v>
      </c>
      <c r="G78">
        <v>0.89</v>
      </c>
      <c r="H78">
        <v>15.04</v>
      </c>
      <c r="I78">
        <v>0</v>
      </c>
    </row>
    <row r="79" spans="1:9">
      <c r="A79" t="s">
        <v>1067</v>
      </c>
      <c r="B79">
        <v>500.6071</v>
      </c>
      <c r="C79">
        <v>32.733699999999999</v>
      </c>
      <c r="D79">
        <v>36.616199999999999</v>
      </c>
      <c r="E79">
        <v>37.071300000000001</v>
      </c>
      <c r="F79">
        <v>56.72</v>
      </c>
      <c r="G79">
        <v>0.69</v>
      </c>
      <c r="H79">
        <v>15.13</v>
      </c>
      <c r="I79">
        <v>0</v>
      </c>
    </row>
    <row r="80" spans="1:9">
      <c r="A80" t="s">
        <v>1068</v>
      </c>
      <c r="B80">
        <v>257.68650000000002</v>
      </c>
      <c r="C80">
        <v>29.1845</v>
      </c>
      <c r="D80">
        <v>35.081200000000003</v>
      </c>
      <c r="E80">
        <v>35.502499999999998</v>
      </c>
      <c r="F80">
        <v>49.62</v>
      </c>
      <c r="G80">
        <v>0.61</v>
      </c>
      <c r="H80">
        <v>15.06</v>
      </c>
      <c r="I80">
        <v>0</v>
      </c>
    </row>
    <row r="81" spans="1:9">
      <c r="A81" t="s">
        <v>1069</v>
      </c>
      <c r="B81">
        <v>556.40840000000003</v>
      </c>
      <c r="C81">
        <v>42.517699999999998</v>
      </c>
      <c r="D81">
        <v>43.086199999999998</v>
      </c>
      <c r="E81">
        <v>43.975999999999999</v>
      </c>
      <c r="F81">
        <v>41.15</v>
      </c>
      <c r="G81">
        <v>0.51</v>
      </c>
      <c r="H81">
        <v>15.21</v>
      </c>
      <c r="I81">
        <v>0</v>
      </c>
    </row>
    <row r="82" spans="1:9">
      <c r="A82" t="s">
        <v>1070</v>
      </c>
      <c r="B82">
        <v>335.32580000000002</v>
      </c>
      <c r="C82">
        <v>38.424100000000003</v>
      </c>
      <c r="D82">
        <v>39.605600000000003</v>
      </c>
      <c r="E82">
        <v>40.886499999999998</v>
      </c>
      <c r="F82">
        <v>34.86</v>
      </c>
      <c r="G82">
        <v>0.42</v>
      </c>
      <c r="H82">
        <v>15.53</v>
      </c>
      <c r="I82">
        <v>0</v>
      </c>
    </row>
    <row r="83" spans="1:9">
      <c r="A83" t="s">
        <v>1071</v>
      </c>
      <c r="B83">
        <v>184.33580000000001</v>
      </c>
      <c r="C83">
        <v>34.567999999999998</v>
      </c>
      <c r="D83">
        <v>37.328600000000002</v>
      </c>
      <c r="E83">
        <v>38.571899999999999</v>
      </c>
      <c r="F83">
        <v>30.65</v>
      </c>
      <c r="G83">
        <v>0.37</v>
      </c>
      <c r="H83">
        <v>15.1</v>
      </c>
      <c r="I83">
        <v>0</v>
      </c>
    </row>
    <row r="84" spans="1:9">
      <c r="A84" t="s">
        <v>1072</v>
      </c>
      <c r="B84">
        <v>92.878399999999999</v>
      </c>
      <c r="C84">
        <v>31.252800000000001</v>
      </c>
      <c r="D84">
        <v>35.746699999999997</v>
      </c>
      <c r="E84">
        <v>36.834800000000001</v>
      </c>
      <c r="F84">
        <v>27.24</v>
      </c>
      <c r="G84">
        <v>0.31</v>
      </c>
      <c r="H84">
        <v>15.32</v>
      </c>
      <c r="I84">
        <v>0</v>
      </c>
    </row>
    <row r="85" spans="1:9">
      <c r="A85" t="s">
        <v>1073</v>
      </c>
      <c r="B85">
        <v>3736.5151999999998</v>
      </c>
      <c r="C85">
        <v>43.926499999999997</v>
      </c>
      <c r="D85">
        <v>46.956899999999997</v>
      </c>
      <c r="E85">
        <v>48.095799999999997</v>
      </c>
      <c r="F85">
        <v>584.38</v>
      </c>
      <c r="G85">
        <v>6.37</v>
      </c>
      <c r="H85">
        <v>63.07</v>
      </c>
      <c r="I85">
        <v>0</v>
      </c>
    </row>
    <row r="86" spans="1:9">
      <c r="A86" t="s">
        <v>1074</v>
      </c>
      <c r="B86">
        <v>2301.2399999999998</v>
      </c>
      <c r="C86">
        <v>41.301900000000003</v>
      </c>
      <c r="D86">
        <v>44.515599999999999</v>
      </c>
      <c r="E86">
        <v>45.744300000000003</v>
      </c>
      <c r="F86">
        <v>522.34</v>
      </c>
      <c r="G86">
        <v>5.8</v>
      </c>
      <c r="H86">
        <v>63.37</v>
      </c>
      <c r="I86">
        <v>0</v>
      </c>
    </row>
    <row r="87" spans="1:9">
      <c r="A87" t="s">
        <v>1075</v>
      </c>
      <c r="B87">
        <v>1417.2544</v>
      </c>
      <c r="C87">
        <v>38.369399999999999</v>
      </c>
      <c r="D87">
        <v>42.481200000000001</v>
      </c>
      <c r="E87">
        <v>43.687100000000001</v>
      </c>
      <c r="F87">
        <v>488.69</v>
      </c>
      <c r="G87">
        <v>5.43</v>
      </c>
      <c r="H87">
        <v>63.81</v>
      </c>
      <c r="I87">
        <v>0</v>
      </c>
    </row>
    <row r="88" spans="1:9">
      <c r="A88" t="s">
        <v>1076</v>
      </c>
      <c r="B88">
        <v>861.16079999999999</v>
      </c>
      <c r="C88">
        <v>35.2301</v>
      </c>
      <c r="D88">
        <v>41.100999999999999</v>
      </c>
      <c r="E88">
        <v>42.219900000000003</v>
      </c>
      <c r="F88">
        <v>448.35</v>
      </c>
      <c r="G88">
        <v>4.51</v>
      </c>
      <c r="H88">
        <v>65.760000000000005</v>
      </c>
      <c r="I88">
        <v>0</v>
      </c>
    </row>
    <row r="89" spans="1:9">
      <c r="A89" t="s">
        <v>1077</v>
      </c>
      <c r="B89">
        <v>2474.1968000000002</v>
      </c>
      <c r="C89">
        <v>44.164200000000001</v>
      </c>
      <c r="D89">
        <v>48.323999999999998</v>
      </c>
      <c r="E89">
        <v>48.949399999999997</v>
      </c>
      <c r="F89">
        <v>533.09</v>
      </c>
      <c r="G89">
        <v>5.13</v>
      </c>
      <c r="H89">
        <v>63.29</v>
      </c>
      <c r="I89">
        <v>0</v>
      </c>
    </row>
    <row r="90" spans="1:9">
      <c r="A90" t="s">
        <v>1078</v>
      </c>
      <c r="B90">
        <v>1388.4944</v>
      </c>
      <c r="C90">
        <v>41.9253</v>
      </c>
      <c r="D90">
        <v>46.229399999999998</v>
      </c>
      <c r="E90">
        <v>46.822600000000001</v>
      </c>
      <c r="F90">
        <v>479.63</v>
      </c>
      <c r="G90">
        <v>4.54</v>
      </c>
      <c r="H90">
        <v>63.39</v>
      </c>
      <c r="I90">
        <v>0</v>
      </c>
    </row>
    <row r="91" spans="1:9">
      <c r="A91" t="s">
        <v>1079</v>
      </c>
      <c r="B91">
        <v>795.51599999999996</v>
      </c>
      <c r="C91">
        <v>39.523299999999999</v>
      </c>
      <c r="D91">
        <v>44.305300000000003</v>
      </c>
      <c r="E91">
        <v>44.889000000000003</v>
      </c>
      <c r="F91">
        <v>442.04</v>
      </c>
      <c r="G91">
        <v>4.05</v>
      </c>
      <c r="H91">
        <v>62.56</v>
      </c>
      <c r="I91">
        <v>0</v>
      </c>
    </row>
    <row r="92" spans="1:9">
      <c r="A92" t="s">
        <v>1080</v>
      </c>
      <c r="B92">
        <v>458.33120000000002</v>
      </c>
      <c r="C92">
        <v>36.884700000000002</v>
      </c>
      <c r="D92">
        <v>42.793500000000002</v>
      </c>
      <c r="E92">
        <v>43.265599999999999</v>
      </c>
      <c r="F92">
        <v>421.15</v>
      </c>
      <c r="G92">
        <v>3.66</v>
      </c>
      <c r="H92">
        <v>62.71</v>
      </c>
      <c r="I92">
        <v>0</v>
      </c>
    </row>
    <row r="93" spans="1:9">
      <c r="A93" t="s">
        <v>1081</v>
      </c>
      <c r="B93">
        <v>2729.6952000000001</v>
      </c>
      <c r="C93">
        <v>44.557000000000002</v>
      </c>
      <c r="D93">
        <v>47.703299999999999</v>
      </c>
      <c r="E93">
        <v>48.574300000000001</v>
      </c>
      <c r="F93">
        <v>541.97</v>
      </c>
      <c r="G93">
        <v>5.45</v>
      </c>
      <c r="H93">
        <v>64.31</v>
      </c>
      <c r="I93">
        <v>0</v>
      </c>
    </row>
    <row r="94" spans="1:9">
      <c r="A94" t="s">
        <v>1082</v>
      </c>
      <c r="B94">
        <v>1641.4464</v>
      </c>
      <c r="C94">
        <v>42.189100000000003</v>
      </c>
      <c r="D94">
        <v>45.465899999999998</v>
      </c>
      <c r="E94">
        <v>46.370199999999997</v>
      </c>
      <c r="F94">
        <v>489.62</v>
      </c>
      <c r="G94">
        <v>5.47</v>
      </c>
      <c r="H94">
        <v>63.42</v>
      </c>
      <c r="I94">
        <v>0</v>
      </c>
    </row>
    <row r="95" spans="1:9">
      <c r="A95" t="s">
        <v>1083</v>
      </c>
      <c r="B95">
        <v>995.00319999999999</v>
      </c>
      <c r="C95">
        <v>39.490499999999997</v>
      </c>
      <c r="D95">
        <v>43.4724</v>
      </c>
      <c r="E95">
        <v>44.419899999999998</v>
      </c>
      <c r="F95">
        <v>451.42</v>
      </c>
      <c r="G95">
        <v>4.16</v>
      </c>
      <c r="H95">
        <v>63.71</v>
      </c>
      <c r="I95">
        <v>0</v>
      </c>
    </row>
    <row r="96" spans="1:9">
      <c r="A96" t="s">
        <v>1084</v>
      </c>
      <c r="B96">
        <v>602.50559999999996</v>
      </c>
      <c r="C96">
        <v>36.551499999999997</v>
      </c>
      <c r="D96">
        <v>42.019500000000001</v>
      </c>
      <c r="E96">
        <v>42.8996</v>
      </c>
      <c r="F96">
        <v>432.23</v>
      </c>
      <c r="G96">
        <v>4.2</v>
      </c>
      <c r="H96">
        <v>63.31</v>
      </c>
      <c r="I96">
        <v>0</v>
      </c>
    </row>
    <row r="97" spans="1:9">
      <c r="A97" t="s">
        <v>1085</v>
      </c>
      <c r="B97">
        <v>2830.9023999999999</v>
      </c>
      <c r="C97">
        <v>42.039099999999998</v>
      </c>
      <c r="D97">
        <v>43.822600000000001</v>
      </c>
      <c r="E97">
        <v>44.419199999999996</v>
      </c>
      <c r="F97">
        <v>265.37</v>
      </c>
      <c r="G97">
        <v>3.29</v>
      </c>
      <c r="H97">
        <v>33.659999999999997</v>
      </c>
      <c r="I97">
        <v>0</v>
      </c>
    </row>
    <row r="98" spans="1:9">
      <c r="A98" t="s">
        <v>1086</v>
      </c>
      <c r="B98">
        <v>1638.5381</v>
      </c>
      <c r="C98">
        <v>38.5349</v>
      </c>
      <c r="D98">
        <v>40.680900000000001</v>
      </c>
      <c r="E98">
        <v>40.9497</v>
      </c>
      <c r="F98">
        <v>227.92</v>
      </c>
      <c r="G98">
        <v>2.8</v>
      </c>
      <c r="H98">
        <v>33.57</v>
      </c>
      <c r="I98">
        <v>0</v>
      </c>
    </row>
    <row r="99" spans="1:9">
      <c r="A99" t="s">
        <v>1087</v>
      </c>
      <c r="B99">
        <v>944.29600000000005</v>
      </c>
      <c r="C99">
        <v>35.3994</v>
      </c>
      <c r="D99">
        <v>38.103299999999997</v>
      </c>
      <c r="E99">
        <v>38.158799999999999</v>
      </c>
      <c r="F99">
        <v>198.25</v>
      </c>
      <c r="G99">
        <v>2.23</v>
      </c>
      <c r="H99">
        <v>32.81</v>
      </c>
      <c r="I99">
        <v>0</v>
      </c>
    </row>
    <row r="100" spans="1:9">
      <c r="A100" t="s">
        <v>1088</v>
      </c>
      <c r="B100">
        <v>551.64210000000003</v>
      </c>
      <c r="C100">
        <v>32.450899999999997</v>
      </c>
      <c r="D100">
        <v>36.1892</v>
      </c>
      <c r="E100">
        <v>36.129600000000003</v>
      </c>
      <c r="F100">
        <v>178.6</v>
      </c>
      <c r="G100">
        <v>1.86</v>
      </c>
      <c r="H100">
        <v>33.31</v>
      </c>
      <c r="I100">
        <v>0</v>
      </c>
    </row>
    <row r="101" spans="1:9">
      <c r="A101" t="s">
        <v>1089</v>
      </c>
      <c r="B101">
        <v>2831.3132999999998</v>
      </c>
      <c r="C101">
        <v>45.0383</v>
      </c>
      <c r="D101">
        <v>46.718499999999999</v>
      </c>
      <c r="E101">
        <v>47.116799999999998</v>
      </c>
      <c r="F101">
        <v>474.96</v>
      </c>
      <c r="G101">
        <v>5.27</v>
      </c>
      <c r="H101">
        <v>56.17</v>
      </c>
      <c r="I101">
        <v>0</v>
      </c>
    </row>
    <row r="102" spans="1:9">
      <c r="A102" t="s">
        <v>1090</v>
      </c>
      <c r="B102">
        <v>1888.3062</v>
      </c>
      <c r="C102">
        <v>41.018099999999997</v>
      </c>
      <c r="D102">
        <v>43.244799999999998</v>
      </c>
      <c r="E102">
        <v>43.515500000000003</v>
      </c>
      <c r="F102">
        <v>427.06</v>
      </c>
      <c r="G102">
        <v>4.55</v>
      </c>
      <c r="H102">
        <v>55.59</v>
      </c>
      <c r="I102">
        <v>0</v>
      </c>
    </row>
    <row r="103" spans="1:9">
      <c r="A103" t="s">
        <v>1091</v>
      </c>
      <c r="B103">
        <v>1229.9457</v>
      </c>
      <c r="C103">
        <v>37.203099999999999</v>
      </c>
      <c r="D103">
        <v>40.638100000000001</v>
      </c>
      <c r="E103">
        <v>40.644300000000001</v>
      </c>
      <c r="F103">
        <v>388.78</v>
      </c>
      <c r="G103">
        <v>4.09</v>
      </c>
      <c r="H103">
        <v>56.23</v>
      </c>
      <c r="I103">
        <v>0</v>
      </c>
    </row>
    <row r="104" spans="1:9">
      <c r="A104" t="s">
        <v>1092</v>
      </c>
      <c r="B104">
        <v>800.08479999999997</v>
      </c>
      <c r="C104">
        <v>33.560099999999998</v>
      </c>
      <c r="D104">
        <v>38.900100000000002</v>
      </c>
      <c r="E104">
        <v>38.707900000000002</v>
      </c>
      <c r="F104">
        <v>354.29</v>
      </c>
      <c r="G104">
        <v>3.89</v>
      </c>
      <c r="H104">
        <v>55.09</v>
      </c>
      <c r="I104">
        <v>0</v>
      </c>
    </row>
    <row r="105" spans="1:9">
      <c r="A105" t="s">
        <v>1093</v>
      </c>
      <c r="B105">
        <v>4167.6142</v>
      </c>
      <c r="C105">
        <v>46.721600000000002</v>
      </c>
      <c r="D105">
        <v>45.579500000000003</v>
      </c>
      <c r="E105">
        <v>45.649500000000003</v>
      </c>
      <c r="F105">
        <v>349.76</v>
      </c>
      <c r="G105">
        <v>3.83</v>
      </c>
      <c r="H105">
        <v>64.67</v>
      </c>
      <c r="I105">
        <v>0</v>
      </c>
    </row>
    <row r="106" spans="1:9">
      <c r="A106" t="s">
        <v>1094</v>
      </c>
      <c r="B106">
        <v>3113.2863000000002</v>
      </c>
      <c r="C106">
        <v>42.269500000000001</v>
      </c>
      <c r="D106">
        <v>41.053899999999999</v>
      </c>
      <c r="E106">
        <v>41.284300000000002</v>
      </c>
      <c r="F106">
        <v>334.09</v>
      </c>
      <c r="G106">
        <v>3.57</v>
      </c>
      <c r="H106">
        <v>64.05</v>
      </c>
      <c r="I106">
        <v>0</v>
      </c>
    </row>
    <row r="107" spans="1:9">
      <c r="A107" t="s">
        <v>1095</v>
      </c>
      <c r="B107">
        <v>2371.8703</v>
      </c>
      <c r="C107">
        <v>37.705199999999998</v>
      </c>
      <c r="D107">
        <v>38.783299999999997</v>
      </c>
      <c r="E107">
        <v>38.912599999999998</v>
      </c>
      <c r="F107">
        <v>312.64999999999998</v>
      </c>
      <c r="G107">
        <v>3.5</v>
      </c>
      <c r="H107">
        <v>63.35</v>
      </c>
      <c r="I107">
        <v>0</v>
      </c>
    </row>
    <row r="108" spans="1:9">
      <c r="A108" t="s">
        <v>1096</v>
      </c>
      <c r="B108">
        <v>1772.7876000000001</v>
      </c>
      <c r="C108">
        <v>32.8508</v>
      </c>
      <c r="D108">
        <v>37.666699999999999</v>
      </c>
      <c r="E108">
        <v>37.195599999999999</v>
      </c>
      <c r="F108">
        <v>322.25</v>
      </c>
      <c r="G108">
        <v>3.8</v>
      </c>
      <c r="H108">
        <v>65.02</v>
      </c>
      <c r="I108">
        <v>0</v>
      </c>
    </row>
    <row r="109" spans="1:9">
      <c r="A109" t="s">
        <v>1097</v>
      </c>
      <c r="B109">
        <v>657.36220000000003</v>
      </c>
      <c r="C109">
        <v>50.641800000000003</v>
      </c>
      <c r="D109">
        <v>52.878999999999998</v>
      </c>
      <c r="E109">
        <v>53.937100000000001</v>
      </c>
      <c r="F109">
        <v>389.71</v>
      </c>
      <c r="G109">
        <v>3.5</v>
      </c>
      <c r="H109">
        <v>65.569999999999993</v>
      </c>
      <c r="I109">
        <v>0</v>
      </c>
    </row>
    <row r="110" spans="1:9">
      <c r="A110" t="s">
        <v>1098</v>
      </c>
      <c r="B110">
        <v>447.02249999999998</v>
      </c>
      <c r="C110">
        <v>46.904299999999999</v>
      </c>
      <c r="D110">
        <v>49.420999999999999</v>
      </c>
      <c r="E110">
        <v>50.402799999999999</v>
      </c>
      <c r="F110">
        <v>372.29</v>
      </c>
      <c r="G110">
        <v>3.26</v>
      </c>
      <c r="H110">
        <v>63.56</v>
      </c>
      <c r="I110">
        <v>0</v>
      </c>
    </row>
    <row r="111" spans="1:9">
      <c r="A111" t="s">
        <v>1099</v>
      </c>
      <c r="B111">
        <v>306.72320000000002</v>
      </c>
      <c r="C111">
        <v>43.173000000000002</v>
      </c>
      <c r="D111">
        <v>46.5289</v>
      </c>
      <c r="E111">
        <v>47.753599999999999</v>
      </c>
      <c r="F111">
        <v>365.82</v>
      </c>
      <c r="G111">
        <v>3.23</v>
      </c>
      <c r="H111">
        <v>62.94</v>
      </c>
      <c r="I111">
        <v>0</v>
      </c>
    </row>
    <row r="112" spans="1:9">
      <c r="A112" t="s">
        <v>1100</v>
      </c>
      <c r="B112">
        <v>205.9273</v>
      </c>
      <c r="C112">
        <v>39.085799999999999</v>
      </c>
      <c r="D112">
        <v>44.5107</v>
      </c>
      <c r="E112">
        <v>45.674700000000001</v>
      </c>
      <c r="F112">
        <v>395.47</v>
      </c>
      <c r="G112">
        <v>3.35</v>
      </c>
      <c r="H112">
        <v>62.78</v>
      </c>
      <c r="I112">
        <v>0</v>
      </c>
    </row>
    <row r="113" spans="1:9">
      <c r="A113" t="s">
        <v>1101</v>
      </c>
      <c r="B113">
        <v>31069.8367</v>
      </c>
      <c r="C113">
        <v>40.2089</v>
      </c>
      <c r="D113">
        <v>48.810899999999997</v>
      </c>
      <c r="E113">
        <v>46.945700000000002</v>
      </c>
      <c r="F113">
        <v>66136.289999999994</v>
      </c>
      <c r="G113">
        <v>105.35</v>
      </c>
      <c r="H113">
        <v>2059.16</v>
      </c>
      <c r="I113">
        <v>0</v>
      </c>
    </row>
    <row r="114" spans="1:9">
      <c r="A114" t="s">
        <v>1102</v>
      </c>
      <c r="B114">
        <v>9381.7958999999992</v>
      </c>
      <c r="C114">
        <v>39.459000000000003</v>
      </c>
      <c r="D114">
        <v>47.811700000000002</v>
      </c>
      <c r="E114">
        <v>45.534799999999997</v>
      </c>
      <c r="F114">
        <v>52019.5</v>
      </c>
      <c r="G114">
        <v>82.97</v>
      </c>
      <c r="H114">
        <v>2044.16</v>
      </c>
      <c r="I114">
        <v>0</v>
      </c>
    </row>
    <row r="115" spans="1:9">
      <c r="A115" t="s">
        <v>1103</v>
      </c>
      <c r="B115">
        <v>4829.1363000000001</v>
      </c>
      <c r="C115">
        <v>38.449800000000003</v>
      </c>
      <c r="D115">
        <v>46.698799999999999</v>
      </c>
      <c r="E115">
        <v>44.132199999999997</v>
      </c>
      <c r="F115">
        <v>46185.9</v>
      </c>
      <c r="G115">
        <v>90.19</v>
      </c>
      <c r="H115">
        <v>2062.11</v>
      </c>
      <c r="I115">
        <v>0</v>
      </c>
    </row>
    <row r="116" spans="1:9">
      <c r="A116" t="s">
        <v>1104</v>
      </c>
      <c r="B116">
        <v>2701.1950999999999</v>
      </c>
      <c r="C116">
        <v>36.928600000000003</v>
      </c>
      <c r="D116">
        <v>45.582799999999999</v>
      </c>
      <c r="E116">
        <v>42.7804</v>
      </c>
      <c r="F116">
        <v>41251.089999999997</v>
      </c>
      <c r="G116">
        <v>74.540000000000006</v>
      </c>
      <c r="H116">
        <v>2079.1799999999998</v>
      </c>
      <c r="I116">
        <v>0</v>
      </c>
    </row>
    <row r="117" spans="1:9">
      <c r="A117" t="s">
        <v>1105</v>
      </c>
      <c r="B117">
        <v>100034.7067</v>
      </c>
      <c r="C117">
        <v>41.330100000000002</v>
      </c>
      <c r="D117">
        <v>44.011499999999998</v>
      </c>
      <c r="E117">
        <v>42.101700000000001</v>
      </c>
      <c r="F117">
        <v>62701.48</v>
      </c>
      <c r="G117">
        <v>143.04</v>
      </c>
      <c r="H117">
        <v>1911.52</v>
      </c>
      <c r="I117">
        <v>0</v>
      </c>
    </row>
    <row r="118" spans="1:9">
      <c r="A118" t="s">
        <v>1106</v>
      </c>
      <c r="B118">
        <v>25847.994699999999</v>
      </c>
      <c r="C118">
        <v>39.101500000000001</v>
      </c>
      <c r="D118">
        <v>42.756999999999998</v>
      </c>
      <c r="E118">
        <v>40.936500000000002</v>
      </c>
      <c r="F118">
        <v>42834.1</v>
      </c>
      <c r="G118">
        <v>80.37</v>
      </c>
      <c r="H118">
        <v>1915.11</v>
      </c>
      <c r="I118">
        <v>0</v>
      </c>
    </row>
    <row r="119" spans="1:9">
      <c r="A119" t="s">
        <v>1107</v>
      </c>
      <c r="B119">
        <v>11170.0587</v>
      </c>
      <c r="C119">
        <v>37.2256</v>
      </c>
      <c r="D119">
        <v>41.495899999999999</v>
      </c>
      <c r="E119">
        <v>39.826999999999998</v>
      </c>
      <c r="F119">
        <v>38296.449999999997</v>
      </c>
      <c r="G119">
        <v>76.28</v>
      </c>
      <c r="H119">
        <v>1924.82</v>
      </c>
      <c r="I119">
        <v>0</v>
      </c>
    </row>
    <row r="120" spans="1:9">
      <c r="A120" t="s">
        <v>1108</v>
      </c>
      <c r="B120">
        <v>5693.2933000000003</v>
      </c>
      <c r="C120">
        <v>35.087699999999998</v>
      </c>
      <c r="D120">
        <v>40.265700000000002</v>
      </c>
      <c r="E120">
        <v>38.81</v>
      </c>
      <c r="F120">
        <v>34757.629999999997</v>
      </c>
      <c r="G120">
        <v>66.319999999999993</v>
      </c>
      <c r="H120">
        <v>1926.09</v>
      </c>
      <c r="I120">
        <v>0</v>
      </c>
    </row>
    <row r="121" spans="1:9">
      <c r="A121" t="s">
        <v>1109</v>
      </c>
      <c r="B121">
        <v>58161.02</v>
      </c>
      <c r="C121">
        <v>38.900100000000002</v>
      </c>
      <c r="D121">
        <v>41.782800000000002</v>
      </c>
      <c r="E121">
        <v>42.508000000000003</v>
      </c>
      <c r="F121">
        <v>82498.679999999993</v>
      </c>
      <c r="G121">
        <v>133.15</v>
      </c>
      <c r="H121">
        <v>1925.38</v>
      </c>
      <c r="I121">
        <v>0</v>
      </c>
    </row>
    <row r="122" spans="1:9">
      <c r="A122" t="s">
        <v>1110</v>
      </c>
      <c r="B122">
        <v>19193.6224</v>
      </c>
      <c r="C122">
        <v>37.332999999999998</v>
      </c>
      <c r="D122">
        <v>38.582700000000003</v>
      </c>
      <c r="E122">
        <v>40.723300000000002</v>
      </c>
      <c r="F122">
        <v>62957.66</v>
      </c>
      <c r="G122">
        <v>100.7</v>
      </c>
      <c r="H122">
        <v>1930.21</v>
      </c>
      <c r="I122">
        <v>0</v>
      </c>
    </row>
    <row r="123" spans="1:9">
      <c r="A123" t="s">
        <v>1111</v>
      </c>
      <c r="B123">
        <v>9970.1687999999995</v>
      </c>
      <c r="C123">
        <v>36.131799999999998</v>
      </c>
      <c r="D123">
        <v>36.79</v>
      </c>
      <c r="E123">
        <v>39.351399999999998</v>
      </c>
      <c r="F123">
        <v>52442.9</v>
      </c>
      <c r="G123">
        <v>83.55</v>
      </c>
      <c r="H123">
        <v>1903.91</v>
      </c>
      <c r="I123">
        <v>0</v>
      </c>
    </row>
    <row r="124" spans="1:9">
      <c r="A124" t="s">
        <v>1112</v>
      </c>
      <c r="B124">
        <v>5432.3944000000001</v>
      </c>
      <c r="C124">
        <v>34.651800000000001</v>
      </c>
      <c r="D124">
        <v>34.761200000000002</v>
      </c>
      <c r="E124">
        <v>37.851599999999998</v>
      </c>
      <c r="F124">
        <v>45599.07</v>
      </c>
      <c r="G124">
        <v>75.099999999999994</v>
      </c>
      <c r="H124">
        <v>1936.92</v>
      </c>
      <c r="I124">
        <v>0</v>
      </c>
    </row>
    <row r="125" spans="1:9">
      <c r="A125" t="s">
        <v>1113</v>
      </c>
      <c r="B125">
        <v>217518.65760000001</v>
      </c>
      <c r="C125">
        <v>39.835299999999997</v>
      </c>
      <c r="D125">
        <v>45.658900000000003</v>
      </c>
      <c r="E125">
        <v>41.750799999999998</v>
      </c>
      <c r="F125">
        <v>125604.64</v>
      </c>
      <c r="G125">
        <v>177.6</v>
      </c>
      <c r="H125">
        <v>2040.35</v>
      </c>
      <c r="I125">
        <v>0</v>
      </c>
    </row>
    <row r="126" spans="1:9">
      <c r="A126" t="s">
        <v>1114</v>
      </c>
      <c r="B126">
        <v>95730.825599999996</v>
      </c>
      <c r="C126">
        <v>35.823500000000003</v>
      </c>
      <c r="D126">
        <v>44.304699999999997</v>
      </c>
      <c r="E126">
        <v>40.197499999999998</v>
      </c>
      <c r="F126">
        <v>100005.14</v>
      </c>
      <c r="G126">
        <v>144.04</v>
      </c>
      <c r="H126">
        <v>2045.15</v>
      </c>
      <c r="I126">
        <v>0</v>
      </c>
    </row>
    <row r="127" spans="1:9">
      <c r="A127" t="s">
        <v>1115</v>
      </c>
      <c r="B127">
        <v>44198.819199999998</v>
      </c>
      <c r="C127">
        <v>32.723199999999999</v>
      </c>
      <c r="D127">
        <v>43.588700000000003</v>
      </c>
      <c r="E127">
        <v>39.545699999999997</v>
      </c>
      <c r="F127">
        <v>83420.3</v>
      </c>
      <c r="G127">
        <v>121.88</v>
      </c>
      <c r="H127">
        <v>2062.5100000000002</v>
      </c>
      <c r="I127">
        <v>0</v>
      </c>
    </row>
    <row r="128" spans="1:9">
      <c r="A128" t="s">
        <v>1116</v>
      </c>
      <c r="B128">
        <v>19104.4048</v>
      </c>
      <c r="C128">
        <v>30.081600000000002</v>
      </c>
      <c r="D128">
        <v>42.8583</v>
      </c>
      <c r="E128">
        <v>38.965800000000002</v>
      </c>
      <c r="F128">
        <v>68251.61</v>
      </c>
      <c r="G128">
        <v>96.83</v>
      </c>
      <c r="H128">
        <v>2054.29</v>
      </c>
      <c r="I128">
        <v>0</v>
      </c>
    </row>
    <row r="129" spans="1:9">
      <c r="A129" t="s">
        <v>1117</v>
      </c>
      <c r="B129">
        <v>36972.388800000001</v>
      </c>
      <c r="C129">
        <v>40.160299999999999</v>
      </c>
      <c r="D129">
        <v>41.700099999999999</v>
      </c>
      <c r="E129">
        <v>43.290399999999998</v>
      </c>
      <c r="F129">
        <v>49735.92</v>
      </c>
      <c r="G129">
        <v>98.41</v>
      </c>
      <c r="H129">
        <v>1919.09</v>
      </c>
      <c r="I129">
        <v>0</v>
      </c>
    </row>
    <row r="130" spans="1:9">
      <c r="A130" t="s">
        <v>1118</v>
      </c>
      <c r="B130">
        <v>11089.0064</v>
      </c>
      <c r="C130">
        <v>39.112299999999998</v>
      </c>
      <c r="D130">
        <v>41.080300000000001</v>
      </c>
      <c r="E130">
        <v>42.007199999999997</v>
      </c>
      <c r="F130">
        <v>38585.74</v>
      </c>
      <c r="G130">
        <v>80.540000000000006</v>
      </c>
      <c r="H130">
        <v>1922.47</v>
      </c>
      <c r="I130">
        <v>0</v>
      </c>
    </row>
    <row r="131" spans="1:9">
      <c r="A131" t="s">
        <v>1119</v>
      </c>
      <c r="B131">
        <v>5606.3472000000002</v>
      </c>
      <c r="C131">
        <v>37.700800000000001</v>
      </c>
      <c r="D131">
        <v>40.288200000000003</v>
      </c>
      <c r="E131">
        <v>40.568899999999999</v>
      </c>
      <c r="F131">
        <v>34524.5</v>
      </c>
      <c r="G131">
        <v>69.92</v>
      </c>
      <c r="H131">
        <v>1931.59</v>
      </c>
      <c r="I131">
        <v>0</v>
      </c>
    </row>
    <row r="132" spans="1:9">
      <c r="A132" t="s">
        <v>1120</v>
      </c>
      <c r="B132">
        <v>3039.5648000000001</v>
      </c>
      <c r="C132">
        <v>35.803199999999997</v>
      </c>
      <c r="D132">
        <v>39.439599999999999</v>
      </c>
      <c r="E132">
        <v>39.220700000000001</v>
      </c>
      <c r="F132">
        <v>31289.56</v>
      </c>
      <c r="G132">
        <v>68.88</v>
      </c>
      <c r="H132">
        <v>1962.21</v>
      </c>
      <c r="I132">
        <v>0</v>
      </c>
    </row>
    <row r="133" spans="1:9">
      <c r="A133" t="s">
        <v>1121</v>
      </c>
      <c r="B133">
        <v>14840.2384</v>
      </c>
      <c r="C133">
        <v>39.909399999999998</v>
      </c>
      <c r="D133">
        <v>47.512999999999998</v>
      </c>
      <c r="E133">
        <v>47.114600000000003</v>
      </c>
      <c r="F133">
        <v>35352.370000000003</v>
      </c>
      <c r="G133">
        <v>85.94</v>
      </c>
      <c r="H133">
        <v>1943.34</v>
      </c>
      <c r="I133">
        <v>0</v>
      </c>
    </row>
    <row r="134" spans="1:9">
      <c r="A134" t="s">
        <v>1122</v>
      </c>
      <c r="B134">
        <v>3783.8087999999998</v>
      </c>
      <c r="C134">
        <v>39.048999999999999</v>
      </c>
      <c r="D134">
        <v>46.14</v>
      </c>
      <c r="E134">
        <v>46.085000000000001</v>
      </c>
      <c r="F134">
        <v>27439.05</v>
      </c>
      <c r="G134">
        <v>71.53</v>
      </c>
      <c r="H134">
        <v>1942.83</v>
      </c>
      <c r="I134">
        <v>0</v>
      </c>
    </row>
    <row r="135" spans="1:9">
      <c r="A135" t="s">
        <v>1123</v>
      </c>
      <c r="B135">
        <v>1744.3887999999999</v>
      </c>
      <c r="C135">
        <v>37.936399999999999</v>
      </c>
      <c r="D135">
        <v>44.448599999999999</v>
      </c>
      <c r="E135">
        <v>44.525399999999998</v>
      </c>
      <c r="F135">
        <v>25724.400000000001</v>
      </c>
      <c r="G135">
        <v>70.150000000000006</v>
      </c>
      <c r="H135">
        <v>1959.18</v>
      </c>
      <c r="I135">
        <v>0</v>
      </c>
    </row>
    <row r="136" spans="1:9">
      <c r="A136" t="s">
        <v>1124</v>
      </c>
      <c r="B136">
        <v>896.97119999999995</v>
      </c>
      <c r="C136">
        <v>36.526800000000001</v>
      </c>
      <c r="D136">
        <v>43.027099999999997</v>
      </c>
      <c r="E136">
        <v>43.035800000000002</v>
      </c>
      <c r="F136">
        <v>24192.49</v>
      </c>
      <c r="G136">
        <v>66.28</v>
      </c>
      <c r="H136">
        <v>1925.79</v>
      </c>
      <c r="I136">
        <v>0</v>
      </c>
    </row>
    <row r="137" spans="1:9">
      <c r="A137" t="s">
        <v>1125</v>
      </c>
      <c r="B137">
        <v>57110.497600000002</v>
      </c>
      <c r="C137">
        <v>37.970999999999997</v>
      </c>
      <c r="D137">
        <v>45.916699999999999</v>
      </c>
      <c r="E137">
        <v>43.870399999999997</v>
      </c>
      <c r="F137">
        <v>61470.69</v>
      </c>
      <c r="G137">
        <v>113.91</v>
      </c>
      <c r="H137">
        <v>1909.45</v>
      </c>
      <c r="I137">
        <v>0</v>
      </c>
    </row>
    <row r="138" spans="1:9">
      <c r="A138" t="s">
        <v>1126</v>
      </c>
      <c r="B138">
        <v>12144.748799999999</v>
      </c>
      <c r="C138">
        <v>37.071199999999997</v>
      </c>
      <c r="D138">
        <v>44.8825</v>
      </c>
      <c r="E138">
        <v>42.8172</v>
      </c>
      <c r="F138">
        <v>42011.27</v>
      </c>
      <c r="G138">
        <v>79.209999999999994</v>
      </c>
      <c r="H138">
        <v>1921.44</v>
      </c>
      <c r="I138">
        <v>0</v>
      </c>
    </row>
    <row r="139" spans="1:9">
      <c r="A139" t="s">
        <v>1127</v>
      </c>
      <c r="B139">
        <v>5533.1967999999997</v>
      </c>
      <c r="C139">
        <v>36.024000000000001</v>
      </c>
      <c r="D139">
        <v>43.590800000000002</v>
      </c>
      <c r="E139">
        <v>41.545900000000003</v>
      </c>
      <c r="F139">
        <v>36759.22</v>
      </c>
      <c r="G139">
        <v>81.47</v>
      </c>
      <c r="H139">
        <v>1959.39</v>
      </c>
      <c r="I139">
        <v>0</v>
      </c>
    </row>
    <row r="140" spans="1:9">
      <c r="A140" t="s">
        <v>1128</v>
      </c>
      <c r="B140">
        <v>2843.752</v>
      </c>
      <c r="C140">
        <v>34.500999999999998</v>
      </c>
      <c r="D140">
        <v>42.3491</v>
      </c>
      <c r="E140">
        <v>40.316600000000001</v>
      </c>
      <c r="F140">
        <v>33281.56</v>
      </c>
      <c r="G140">
        <v>73.45</v>
      </c>
      <c r="H140">
        <v>1939.27</v>
      </c>
      <c r="I140">
        <v>0</v>
      </c>
    </row>
    <row r="141" spans="1:9">
      <c r="A141" t="s">
        <v>1129</v>
      </c>
      <c r="B141">
        <v>24804.641599999999</v>
      </c>
      <c r="C141">
        <v>45.091500000000003</v>
      </c>
      <c r="D141">
        <v>46.995600000000003</v>
      </c>
      <c r="E141">
        <v>45.839500000000001</v>
      </c>
      <c r="F141">
        <v>65897.8</v>
      </c>
      <c r="G141">
        <v>105.91</v>
      </c>
      <c r="H141">
        <v>2039.2</v>
      </c>
      <c r="I141">
        <v>0</v>
      </c>
    </row>
    <row r="142" spans="1:9">
      <c r="A142" t="s">
        <v>1130</v>
      </c>
      <c r="B142">
        <v>9612.0879999999997</v>
      </c>
      <c r="C142">
        <v>42.927199999999999</v>
      </c>
      <c r="D142">
        <v>45.316099999999999</v>
      </c>
      <c r="E142">
        <v>44.489600000000003</v>
      </c>
      <c r="F142">
        <v>53233.29</v>
      </c>
      <c r="G142">
        <v>95.97</v>
      </c>
      <c r="H142">
        <v>2077.65</v>
      </c>
      <c r="I142">
        <v>0</v>
      </c>
    </row>
    <row r="143" spans="1:9">
      <c r="A143" t="s">
        <v>1131</v>
      </c>
      <c r="B143">
        <v>4827.2479999999996</v>
      </c>
      <c r="C143">
        <v>40.659399999999998</v>
      </c>
      <c r="D143">
        <v>43.8108</v>
      </c>
      <c r="E143">
        <v>43.4191</v>
      </c>
      <c r="F143">
        <v>47133.97</v>
      </c>
      <c r="G143">
        <v>85.43</v>
      </c>
      <c r="H143">
        <v>2077.9899999999998</v>
      </c>
      <c r="I143">
        <v>0</v>
      </c>
    </row>
    <row r="144" spans="1:9">
      <c r="A144" t="s">
        <v>1132</v>
      </c>
      <c r="B144">
        <v>2630.4735999999998</v>
      </c>
      <c r="C144">
        <v>38.194600000000001</v>
      </c>
      <c r="D144">
        <v>42.266300000000001</v>
      </c>
      <c r="E144">
        <v>42.371499999999997</v>
      </c>
      <c r="F144">
        <v>40995.339999999997</v>
      </c>
      <c r="G144">
        <v>68.31</v>
      </c>
      <c r="H144">
        <v>2075.98</v>
      </c>
      <c r="I144">
        <v>0</v>
      </c>
    </row>
    <row r="145" spans="1:9">
      <c r="A145" t="s">
        <v>1133</v>
      </c>
      <c r="B145">
        <v>4532.2608</v>
      </c>
      <c r="C145">
        <v>41.720500000000001</v>
      </c>
      <c r="D145">
        <v>43.555900000000001</v>
      </c>
      <c r="E145">
        <v>45.538600000000002</v>
      </c>
      <c r="F145">
        <v>10554.61</v>
      </c>
      <c r="G145">
        <v>20.399999999999999</v>
      </c>
      <c r="H145">
        <v>530.48</v>
      </c>
      <c r="I145">
        <v>0</v>
      </c>
    </row>
    <row r="146" spans="1:9">
      <c r="A146" t="s">
        <v>1134</v>
      </c>
      <c r="B146">
        <v>1985.7175999999999</v>
      </c>
      <c r="C146">
        <v>39.773699999999998</v>
      </c>
      <c r="D146">
        <v>42.281399999999998</v>
      </c>
      <c r="E146">
        <v>43.7316</v>
      </c>
      <c r="F146">
        <v>8466.42</v>
      </c>
      <c r="G146">
        <v>16.63</v>
      </c>
      <c r="H146">
        <v>535.38</v>
      </c>
      <c r="I146">
        <v>0</v>
      </c>
    </row>
    <row r="147" spans="1:9">
      <c r="A147" t="s">
        <v>1135</v>
      </c>
      <c r="B147">
        <v>974.26639999999998</v>
      </c>
      <c r="C147">
        <v>37.454000000000001</v>
      </c>
      <c r="D147">
        <v>41.0565</v>
      </c>
      <c r="E147">
        <v>42.232100000000003</v>
      </c>
      <c r="F147">
        <v>7650.96</v>
      </c>
      <c r="G147">
        <v>17.62</v>
      </c>
      <c r="H147">
        <v>540.17999999999995</v>
      </c>
      <c r="I147">
        <v>0</v>
      </c>
    </row>
    <row r="148" spans="1:9">
      <c r="A148" t="s">
        <v>1136</v>
      </c>
      <c r="B148">
        <v>477.1216</v>
      </c>
      <c r="C148">
        <v>34.935000000000002</v>
      </c>
      <c r="D148">
        <v>39.966700000000003</v>
      </c>
      <c r="E148">
        <v>41.214399999999998</v>
      </c>
      <c r="F148">
        <v>6835.31</v>
      </c>
      <c r="G148">
        <v>14.72</v>
      </c>
      <c r="H148">
        <v>527.29999999999995</v>
      </c>
      <c r="I148">
        <v>0</v>
      </c>
    </row>
    <row r="149" spans="1:9">
      <c r="A149" t="s">
        <v>1137</v>
      </c>
      <c r="B149">
        <v>7016.7248</v>
      </c>
      <c r="C149">
        <v>40.146999999999998</v>
      </c>
      <c r="D149">
        <v>42.5961</v>
      </c>
      <c r="E149">
        <v>44.279899999999998</v>
      </c>
      <c r="F149">
        <v>8783.64</v>
      </c>
      <c r="G149">
        <v>22.34</v>
      </c>
      <c r="H149">
        <v>529.86</v>
      </c>
      <c r="I149">
        <v>0</v>
      </c>
    </row>
    <row r="150" spans="1:9">
      <c r="A150" t="s">
        <v>1138</v>
      </c>
      <c r="B150">
        <v>2972.1671999999999</v>
      </c>
      <c r="C150">
        <v>37.660699999999999</v>
      </c>
      <c r="D150">
        <v>40.926900000000003</v>
      </c>
      <c r="E150">
        <v>42.161799999999999</v>
      </c>
      <c r="F150">
        <v>6912.83</v>
      </c>
      <c r="G150">
        <v>17.46</v>
      </c>
      <c r="H150">
        <v>540.91</v>
      </c>
      <c r="I150">
        <v>0</v>
      </c>
    </row>
    <row r="151" spans="1:9">
      <c r="A151" t="s">
        <v>1139</v>
      </c>
      <c r="B151">
        <v>1370.9656</v>
      </c>
      <c r="C151">
        <v>35.135100000000001</v>
      </c>
      <c r="D151">
        <v>39.098999999999997</v>
      </c>
      <c r="E151">
        <v>40.211199999999998</v>
      </c>
      <c r="F151">
        <v>6173.91</v>
      </c>
      <c r="G151">
        <v>15.4</v>
      </c>
      <c r="H151">
        <v>529.65</v>
      </c>
      <c r="I151">
        <v>0</v>
      </c>
    </row>
    <row r="152" spans="1:9">
      <c r="A152" t="s">
        <v>1140</v>
      </c>
      <c r="B152">
        <v>631.51440000000002</v>
      </c>
      <c r="C152">
        <v>32.645000000000003</v>
      </c>
      <c r="D152">
        <v>37.597299999999997</v>
      </c>
      <c r="E152">
        <v>39.046500000000002</v>
      </c>
      <c r="F152">
        <v>5562.43</v>
      </c>
      <c r="G152">
        <v>16.420000000000002</v>
      </c>
      <c r="H152">
        <v>541.99</v>
      </c>
      <c r="I152">
        <v>0</v>
      </c>
    </row>
    <row r="153" spans="1:9">
      <c r="A153" t="s">
        <v>1141</v>
      </c>
      <c r="B153">
        <v>16252.8848</v>
      </c>
      <c r="C153">
        <v>38.426499999999997</v>
      </c>
      <c r="D153">
        <v>39.959000000000003</v>
      </c>
      <c r="E153">
        <v>43.805599999999998</v>
      </c>
      <c r="F153">
        <v>22281.72</v>
      </c>
      <c r="G153">
        <v>48.31</v>
      </c>
      <c r="H153">
        <v>530.01</v>
      </c>
      <c r="I153">
        <v>0</v>
      </c>
    </row>
    <row r="154" spans="1:9">
      <c r="A154" t="s">
        <v>1142</v>
      </c>
      <c r="B154">
        <v>5216.1463999999996</v>
      </c>
      <c r="C154">
        <v>36.858600000000003</v>
      </c>
      <c r="D154">
        <v>39.171999999999997</v>
      </c>
      <c r="E154">
        <v>42.166899999999998</v>
      </c>
      <c r="F154">
        <v>16938.62</v>
      </c>
      <c r="G154">
        <v>34.79</v>
      </c>
      <c r="H154">
        <v>527.5</v>
      </c>
      <c r="I154">
        <v>0</v>
      </c>
    </row>
    <row r="155" spans="1:9">
      <c r="A155" t="s">
        <v>1143</v>
      </c>
      <c r="B155">
        <v>2502.1336000000001</v>
      </c>
      <c r="C155">
        <v>35.051000000000002</v>
      </c>
      <c r="D155">
        <v>38.359400000000001</v>
      </c>
      <c r="E155">
        <v>40.543900000000001</v>
      </c>
      <c r="F155">
        <v>14856.44</v>
      </c>
      <c r="G155">
        <v>30.89</v>
      </c>
      <c r="H155">
        <v>530.51</v>
      </c>
      <c r="I155">
        <v>0</v>
      </c>
    </row>
    <row r="156" spans="1:9">
      <c r="A156" t="s">
        <v>1144</v>
      </c>
      <c r="B156">
        <v>1259.7655999999999</v>
      </c>
      <c r="C156">
        <v>32.819800000000001</v>
      </c>
      <c r="D156">
        <v>37.490099999999998</v>
      </c>
      <c r="E156">
        <v>39.090699999999998</v>
      </c>
      <c r="F156">
        <v>13263.72</v>
      </c>
      <c r="G156">
        <v>28.68</v>
      </c>
      <c r="H156">
        <v>541.15</v>
      </c>
      <c r="I156">
        <v>0</v>
      </c>
    </row>
    <row r="157" spans="1:9">
      <c r="A157" t="s">
        <v>1145</v>
      </c>
      <c r="B157">
        <v>16072.624</v>
      </c>
      <c r="C157">
        <v>39.165100000000002</v>
      </c>
      <c r="D157">
        <v>43.847900000000003</v>
      </c>
      <c r="E157">
        <v>45.069899999999997</v>
      </c>
      <c r="F157">
        <v>27224.080000000002</v>
      </c>
      <c r="G157">
        <v>56.79</v>
      </c>
      <c r="H157">
        <v>536.05999999999995</v>
      </c>
      <c r="I157">
        <v>0</v>
      </c>
    </row>
    <row r="158" spans="1:9">
      <c r="A158" t="s">
        <v>1146</v>
      </c>
      <c r="B158">
        <v>5410.9719999999998</v>
      </c>
      <c r="C158">
        <v>37.4206</v>
      </c>
      <c r="D158">
        <v>42.627299999999998</v>
      </c>
      <c r="E158">
        <v>43.134399999999999</v>
      </c>
      <c r="F158">
        <v>21609.59</v>
      </c>
      <c r="G158">
        <v>42.1</v>
      </c>
      <c r="H158">
        <v>532.49</v>
      </c>
      <c r="I158">
        <v>0</v>
      </c>
    </row>
    <row r="159" spans="1:9">
      <c r="A159" t="s">
        <v>1147</v>
      </c>
      <c r="B159">
        <v>2596.8935999999999</v>
      </c>
      <c r="C159">
        <v>35.604599999999998</v>
      </c>
      <c r="D159">
        <v>41.418100000000003</v>
      </c>
      <c r="E159">
        <v>41.452100000000002</v>
      </c>
      <c r="F159">
        <v>18780.86</v>
      </c>
      <c r="G159">
        <v>35.89</v>
      </c>
      <c r="H159">
        <v>534.02</v>
      </c>
      <c r="I159">
        <v>0</v>
      </c>
    </row>
    <row r="160" spans="1:9">
      <c r="A160" t="s">
        <v>1148</v>
      </c>
      <c r="B160">
        <v>1323.7952</v>
      </c>
      <c r="C160">
        <v>33.512500000000003</v>
      </c>
      <c r="D160">
        <v>40.241199999999999</v>
      </c>
      <c r="E160">
        <v>39.872599999999998</v>
      </c>
      <c r="F160">
        <v>16839.259999999998</v>
      </c>
      <c r="G160">
        <v>32.090000000000003</v>
      </c>
      <c r="H160">
        <v>539.87</v>
      </c>
      <c r="I160">
        <v>0</v>
      </c>
    </row>
    <row r="161" spans="1:9">
      <c r="A161" t="s">
        <v>1149</v>
      </c>
      <c r="B161">
        <v>34917.932800000002</v>
      </c>
      <c r="C161">
        <v>37.241599999999998</v>
      </c>
      <c r="D161">
        <v>42.234299999999998</v>
      </c>
      <c r="E161">
        <v>44.552300000000002</v>
      </c>
      <c r="F161">
        <v>29773.3</v>
      </c>
      <c r="G161">
        <v>76.88</v>
      </c>
      <c r="H161">
        <v>533.78</v>
      </c>
      <c r="I161">
        <v>0</v>
      </c>
    </row>
    <row r="162" spans="1:9">
      <c r="A162" t="s">
        <v>1150</v>
      </c>
      <c r="B162">
        <v>6251.5727999999999</v>
      </c>
      <c r="C162">
        <v>35.2166</v>
      </c>
      <c r="D162">
        <v>41.088999999999999</v>
      </c>
      <c r="E162">
        <v>43.525199999999998</v>
      </c>
      <c r="F162">
        <v>16030.74</v>
      </c>
      <c r="G162">
        <v>40.94</v>
      </c>
      <c r="H162">
        <v>541.91999999999996</v>
      </c>
      <c r="I162">
        <v>0</v>
      </c>
    </row>
    <row r="163" spans="1:9">
      <c r="A163" t="s">
        <v>1151</v>
      </c>
      <c r="B163">
        <v>1999.268</v>
      </c>
      <c r="C163">
        <v>33.868299999999998</v>
      </c>
      <c r="D163">
        <v>39.762099999999997</v>
      </c>
      <c r="E163">
        <v>42.292999999999999</v>
      </c>
      <c r="F163">
        <v>13805.74</v>
      </c>
      <c r="G163">
        <v>35.69</v>
      </c>
      <c r="H163">
        <v>530.08000000000004</v>
      </c>
      <c r="I163">
        <v>0</v>
      </c>
    </row>
    <row r="164" spans="1:9">
      <c r="A164" t="s">
        <v>1152</v>
      </c>
      <c r="B164">
        <v>905.38639999999998</v>
      </c>
      <c r="C164">
        <v>32.200299999999999</v>
      </c>
      <c r="D164">
        <v>38.599600000000002</v>
      </c>
      <c r="E164">
        <v>41.171599999999998</v>
      </c>
      <c r="F164">
        <v>13014.88</v>
      </c>
      <c r="G164">
        <v>32.85</v>
      </c>
      <c r="H164">
        <v>539.02</v>
      </c>
      <c r="I164">
        <v>0</v>
      </c>
    </row>
    <row r="165" spans="1:9">
      <c r="A165" t="s">
        <v>1153</v>
      </c>
      <c r="B165">
        <v>3277.4079999999999</v>
      </c>
      <c r="C165">
        <v>40.877800000000001</v>
      </c>
      <c r="D165">
        <v>43.3399</v>
      </c>
      <c r="E165">
        <v>43.965600000000002</v>
      </c>
      <c r="F165">
        <v>6118.4</v>
      </c>
      <c r="G165">
        <v>12.12</v>
      </c>
      <c r="H165">
        <v>133.61000000000001</v>
      </c>
      <c r="I165">
        <v>0</v>
      </c>
    </row>
    <row r="166" spans="1:9">
      <c r="A166" t="s">
        <v>1154</v>
      </c>
      <c r="B166">
        <v>1529.5416</v>
      </c>
      <c r="C166">
        <v>37.634999999999998</v>
      </c>
      <c r="D166">
        <v>41.041699999999999</v>
      </c>
      <c r="E166">
        <v>41.216900000000003</v>
      </c>
      <c r="F166">
        <v>4853.6899999999996</v>
      </c>
      <c r="G166">
        <v>9.5</v>
      </c>
      <c r="H166">
        <v>132.78</v>
      </c>
      <c r="I166">
        <v>0</v>
      </c>
    </row>
    <row r="167" spans="1:9">
      <c r="A167" t="s">
        <v>1155</v>
      </c>
      <c r="B167">
        <v>776.2088</v>
      </c>
      <c r="C167">
        <v>34.696800000000003</v>
      </c>
      <c r="D167">
        <v>38.8795</v>
      </c>
      <c r="E167">
        <v>38.798699999999997</v>
      </c>
      <c r="F167">
        <v>4252.3100000000004</v>
      </c>
      <c r="G167">
        <v>8.17</v>
      </c>
      <c r="H167">
        <v>134.09</v>
      </c>
      <c r="I167">
        <v>0</v>
      </c>
    </row>
    <row r="168" spans="1:9">
      <c r="A168" t="s">
        <v>1156</v>
      </c>
      <c r="B168">
        <v>398.53280000000001</v>
      </c>
      <c r="C168">
        <v>32.049300000000002</v>
      </c>
      <c r="D168">
        <v>37.002000000000002</v>
      </c>
      <c r="E168">
        <v>36.705599999999997</v>
      </c>
      <c r="F168">
        <v>3926.51</v>
      </c>
      <c r="G168">
        <v>6.99</v>
      </c>
      <c r="H168">
        <v>134.94</v>
      </c>
      <c r="I168">
        <v>0</v>
      </c>
    </row>
    <row r="169" spans="1:9">
      <c r="A169" t="s">
        <v>1157</v>
      </c>
      <c r="B169">
        <v>3358.2015999999999</v>
      </c>
      <c r="C169">
        <v>40.186799999999998</v>
      </c>
      <c r="D169">
        <v>43.7059</v>
      </c>
      <c r="E169">
        <v>45.318100000000001</v>
      </c>
      <c r="F169">
        <v>6139.35</v>
      </c>
      <c r="G169">
        <v>13.03</v>
      </c>
      <c r="H169">
        <v>132.46</v>
      </c>
      <c r="I169">
        <v>0</v>
      </c>
    </row>
    <row r="170" spans="1:9">
      <c r="A170" t="s">
        <v>1158</v>
      </c>
      <c r="B170">
        <v>1522.1071999999999</v>
      </c>
      <c r="C170">
        <v>37.595700000000001</v>
      </c>
      <c r="D170">
        <v>41.854599999999998</v>
      </c>
      <c r="E170">
        <v>43.049500000000002</v>
      </c>
      <c r="F170">
        <v>5006.8999999999996</v>
      </c>
      <c r="G170">
        <v>10.56</v>
      </c>
      <c r="H170">
        <v>134.02000000000001</v>
      </c>
      <c r="I170">
        <v>0</v>
      </c>
    </row>
    <row r="171" spans="1:9">
      <c r="A171" t="s">
        <v>1159</v>
      </c>
      <c r="B171">
        <v>769.70479999999998</v>
      </c>
      <c r="C171">
        <v>34.8979</v>
      </c>
      <c r="D171">
        <v>40.003300000000003</v>
      </c>
      <c r="E171">
        <v>40.939799999999998</v>
      </c>
      <c r="F171">
        <v>4248.24</v>
      </c>
      <c r="G171">
        <v>9.1199999999999992</v>
      </c>
      <c r="H171">
        <v>132.94</v>
      </c>
      <c r="I171">
        <v>0</v>
      </c>
    </row>
    <row r="172" spans="1:9">
      <c r="A172" t="s">
        <v>1160</v>
      </c>
      <c r="B172">
        <v>398.50479999999999</v>
      </c>
      <c r="C172">
        <v>32.113599999999998</v>
      </c>
      <c r="D172">
        <v>38.4542</v>
      </c>
      <c r="E172">
        <v>39.285299999999999</v>
      </c>
      <c r="F172">
        <v>3912.47</v>
      </c>
      <c r="G172">
        <v>9</v>
      </c>
      <c r="H172">
        <v>132.63</v>
      </c>
      <c r="I172">
        <v>0</v>
      </c>
    </row>
    <row r="173" spans="1:9">
      <c r="A173" t="s">
        <v>1161</v>
      </c>
      <c r="B173">
        <v>6331.1840000000002</v>
      </c>
      <c r="C173">
        <v>38.311700000000002</v>
      </c>
      <c r="D173">
        <v>41.669600000000003</v>
      </c>
      <c r="E173">
        <v>42.825499999999998</v>
      </c>
      <c r="F173">
        <v>6193.89</v>
      </c>
      <c r="G173">
        <v>14</v>
      </c>
      <c r="H173">
        <v>134.74</v>
      </c>
      <c r="I173">
        <v>0</v>
      </c>
    </row>
    <row r="174" spans="1:9">
      <c r="A174" t="s">
        <v>1162</v>
      </c>
      <c r="B174">
        <v>2795.9632000000001</v>
      </c>
      <c r="C174">
        <v>34.799399999999999</v>
      </c>
      <c r="D174">
        <v>39.275199999999998</v>
      </c>
      <c r="E174">
        <v>40.292299999999997</v>
      </c>
      <c r="F174">
        <v>4628</v>
      </c>
      <c r="G174">
        <v>10.77</v>
      </c>
      <c r="H174">
        <v>133.03</v>
      </c>
      <c r="I174">
        <v>0</v>
      </c>
    </row>
    <row r="175" spans="1:9">
      <c r="A175" t="s">
        <v>1163</v>
      </c>
      <c r="B175">
        <v>1352.9304</v>
      </c>
      <c r="C175">
        <v>31.8126</v>
      </c>
      <c r="D175">
        <v>37.240600000000001</v>
      </c>
      <c r="E175">
        <v>38.081600000000002</v>
      </c>
      <c r="F175">
        <v>3874.79</v>
      </c>
      <c r="G175">
        <v>9.18</v>
      </c>
      <c r="H175">
        <v>132.4</v>
      </c>
      <c r="I175">
        <v>0</v>
      </c>
    </row>
    <row r="176" spans="1:9">
      <c r="A176" t="s">
        <v>1164</v>
      </c>
      <c r="B176">
        <v>636.16480000000001</v>
      </c>
      <c r="C176">
        <v>28.990200000000002</v>
      </c>
      <c r="D176">
        <v>35.635100000000001</v>
      </c>
      <c r="E176">
        <v>36.366399999999999</v>
      </c>
      <c r="F176">
        <v>3300.11</v>
      </c>
      <c r="G176">
        <v>7.5</v>
      </c>
      <c r="H176">
        <v>133.43</v>
      </c>
      <c r="I176">
        <v>0</v>
      </c>
    </row>
    <row r="177" spans="1:9">
      <c r="A177" t="s">
        <v>1165</v>
      </c>
      <c r="B177">
        <v>4606.4799999999996</v>
      </c>
      <c r="C177">
        <v>39.0441</v>
      </c>
      <c r="D177">
        <v>41.3705</v>
      </c>
      <c r="E177">
        <v>42.905900000000003</v>
      </c>
      <c r="F177">
        <v>5272.97</v>
      </c>
      <c r="G177">
        <v>9.9600000000000009</v>
      </c>
      <c r="H177">
        <v>132.97</v>
      </c>
      <c r="I177">
        <v>0</v>
      </c>
    </row>
    <row r="178" spans="1:9">
      <c r="A178" t="s">
        <v>1166</v>
      </c>
      <c r="B178">
        <v>1837.6063999999999</v>
      </c>
      <c r="C178">
        <v>35.652299999999997</v>
      </c>
      <c r="D178">
        <v>39.156399999999998</v>
      </c>
      <c r="E178">
        <v>40.771700000000003</v>
      </c>
      <c r="F178">
        <v>3945.64</v>
      </c>
      <c r="G178">
        <v>6.98</v>
      </c>
      <c r="H178">
        <v>132.6</v>
      </c>
      <c r="I178">
        <v>0</v>
      </c>
    </row>
    <row r="179" spans="1:9">
      <c r="A179" t="s">
        <v>1167</v>
      </c>
      <c r="B179">
        <v>879.56560000000002</v>
      </c>
      <c r="C179">
        <v>32.903500000000001</v>
      </c>
      <c r="D179">
        <v>37.366799999999998</v>
      </c>
      <c r="E179">
        <v>39.127699999999997</v>
      </c>
      <c r="F179">
        <v>3474.06</v>
      </c>
      <c r="G179">
        <v>6.2</v>
      </c>
      <c r="H179">
        <v>133.58000000000001</v>
      </c>
      <c r="I179">
        <v>0</v>
      </c>
    </row>
    <row r="180" spans="1:9">
      <c r="A180" t="s">
        <v>1168</v>
      </c>
      <c r="B180">
        <v>423.47919999999999</v>
      </c>
      <c r="C180">
        <v>30.226099999999999</v>
      </c>
      <c r="D180">
        <v>35.869599999999998</v>
      </c>
      <c r="E180">
        <v>37.654600000000002</v>
      </c>
      <c r="F180">
        <v>2955.33</v>
      </c>
      <c r="G180">
        <v>4.97</v>
      </c>
      <c r="H180">
        <v>133.47</v>
      </c>
      <c r="I180">
        <v>0</v>
      </c>
    </row>
    <row r="181" spans="1:9">
      <c r="A181" t="s">
        <v>1169</v>
      </c>
      <c r="B181">
        <v>1440.8432</v>
      </c>
      <c r="C181">
        <v>40.832000000000001</v>
      </c>
      <c r="D181">
        <v>43.937800000000003</v>
      </c>
      <c r="E181">
        <v>43.0396</v>
      </c>
      <c r="F181">
        <v>1574.78</v>
      </c>
      <c r="G181">
        <v>3.73</v>
      </c>
      <c r="H181">
        <v>51.89</v>
      </c>
      <c r="I181">
        <v>0</v>
      </c>
    </row>
    <row r="182" spans="1:9">
      <c r="A182" t="s">
        <v>1170</v>
      </c>
      <c r="B182">
        <v>685.90639999999996</v>
      </c>
      <c r="C182">
        <v>36.7928</v>
      </c>
      <c r="D182">
        <v>41.341900000000003</v>
      </c>
      <c r="E182">
        <v>40.0246</v>
      </c>
      <c r="F182">
        <v>1312.89</v>
      </c>
      <c r="G182">
        <v>3.46</v>
      </c>
      <c r="H182">
        <v>52.3</v>
      </c>
      <c r="I182">
        <v>0</v>
      </c>
    </row>
    <row r="183" spans="1:9">
      <c r="A183" t="s">
        <v>1171</v>
      </c>
      <c r="B183">
        <v>346.68720000000002</v>
      </c>
      <c r="C183">
        <v>33.504300000000001</v>
      </c>
      <c r="D183">
        <v>39.2986</v>
      </c>
      <c r="E183">
        <v>37.870800000000003</v>
      </c>
      <c r="F183">
        <v>1105.22</v>
      </c>
      <c r="G183">
        <v>2.58</v>
      </c>
      <c r="H183">
        <v>51.68</v>
      </c>
      <c r="I183">
        <v>0</v>
      </c>
    </row>
    <row r="184" spans="1:9">
      <c r="A184" t="s">
        <v>1172</v>
      </c>
      <c r="B184">
        <v>173.88</v>
      </c>
      <c r="C184">
        <v>30.570499999999999</v>
      </c>
      <c r="D184">
        <v>37.645600000000002</v>
      </c>
      <c r="E184">
        <v>36.058900000000001</v>
      </c>
      <c r="F184">
        <v>955.73</v>
      </c>
      <c r="G184">
        <v>2.19</v>
      </c>
      <c r="H184">
        <v>52.23</v>
      </c>
      <c r="I184">
        <v>0</v>
      </c>
    </row>
    <row r="185" spans="1:9">
      <c r="A185" t="s">
        <v>1173</v>
      </c>
      <c r="B185">
        <v>1524.3943999999999</v>
      </c>
      <c r="C185">
        <v>38.041699999999999</v>
      </c>
      <c r="D185">
        <v>43.623899999999999</v>
      </c>
      <c r="E185">
        <v>44.800899999999999</v>
      </c>
      <c r="F185">
        <v>1567.56</v>
      </c>
      <c r="G185">
        <v>4.34</v>
      </c>
      <c r="H185">
        <v>52.38</v>
      </c>
      <c r="I185">
        <v>0</v>
      </c>
    </row>
    <row r="186" spans="1:9">
      <c r="A186" t="s">
        <v>1174</v>
      </c>
      <c r="B186">
        <v>545.36959999999999</v>
      </c>
      <c r="C186">
        <v>34.5777</v>
      </c>
      <c r="D186">
        <v>41.697499999999998</v>
      </c>
      <c r="E186">
        <v>42.756900000000002</v>
      </c>
      <c r="F186">
        <v>1037.83</v>
      </c>
      <c r="G186">
        <v>3.36</v>
      </c>
      <c r="H186">
        <v>51.9</v>
      </c>
      <c r="I186">
        <v>0</v>
      </c>
    </row>
    <row r="187" spans="1:9">
      <c r="A187" t="s">
        <v>1175</v>
      </c>
      <c r="B187">
        <v>246.04320000000001</v>
      </c>
      <c r="C187">
        <v>31.8506</v>
      </c>
      <c r="D187">
        <v>39.727899999999998</v>
      </c>
      <c r="E187">
        <v>40.692100000000003</v>
      </c>
      <c r="F187">
        <v>861.03</v>
      </c>
      <c r="G187">
        <v>2.68</v>
      </c>
      <c r="H187">
        <v>52.19</v>
      </c>
      <c r="I187">
        <v>0</v>
      </c>
    </row>
    <row r="188" spans="1:9">
      <c r="A188" t="s">
        <v>1176</v>
      </c>
      <c r="B188">
        <v>126.0904</v>
      </c>
      <c r="C188">
        <v>29.340900000000001</v>
      </c>
      <c r="D188">
        <v>38.3157</v>
      </c>
      <c r="E188">
        <v>39.188899999999997</v>
      </c>
      <c r="F188">
        <v>774.62</v>
      </c>
      <c r="G188">
        <v>2.46</v>
      </c>
      <c r="H188">
        <v>51.85</v>
      </c>
      <c r="I188">
        <v>0</v>
      </c>
    </row>
    <row r="189" spans="1:9">
      <c r="A189" t="s">
        <v>1177</v>
      </c>
      <c r="B189">
        <v>1507.72</v>
      </c>
      <c r="C189">
        <v>38.157499999999999</v>
      </c>
      <c r="D189">
        <v>41.484699999999997</v>
      </c>
      <c r="E189">
        <v>42.575600000000001</v>
      </c>
      <c r="F189">
        <v>1306.54</v>
      </c>
      <c r="G189">
        <v>3.6</v>
      </c>
      <c r="H189">
        <v>51.91</v>
      </c>
      <c r="I189">
        <v>0</v>
      </c>
    </row>
    <row r="190" spans="1:9">
      <c r="A190" t="s">
        <v>1178</v>
      </c>
      <c r="B190">
        <v>671.08</v>
      </c>
      <c r="C190">
        <v>34.791400000000003</v>
      </c>
      <c r="D190">
        <v>39.109499999999997</v>
      </c>
      <c r="E190">
        <v>39.9893</v>
      </c>
      <c r="F190">
        <v>982.68</v>
      </c>
      <c r="G190">
        <v>2.77</v>
      </c>
      <c r="H190">
        <v>52.37</v>
      </c>
      <c r="I190">
        <v>0</v>
      </c>
    </row>
    <row r="191" spans="1:9">
      <c r="A191" t="s">
        <v>1179</v>
      </c>
      <c r="B191">
        <v>321.52800000000002</v>
      </c>
      <c r="C191">
        <v>31.805099999999999</v>
      </c>
      <c r="D191">
        <v>36.935699999999997</v>
      </c>
      <c r="E191">
        <v>37.615600000000001</v>
      </c>
      <c r="F191">
        <v>804.78</v>
      </c>
      <c r="G191">
        <v>2.27</v>
      </c>
      <c r="H191">
        <v>51.32</v>
      </c>
      <c r="I191">
        <v>0</v>
      </c>
    </row>
    <row r="192" spans="1:9">
      <c r="A192" t="s">
        <v>1180</v>
      </c>
      <c r="B192">
        <v>148.65119999999999</v>
      </c>
      <c r="C192">
        <v>28.9526</v>
      </c>
      <c r="D192">
        <v>35.227899999999998</v>
      </c>
      <c r="E192">
        <v>35.809899999999999</v>
      </c>
      <c r="F192">
        <v>703.82</v>
      </c>
      <c r="G192">
        <v>1.97</v>
      </c>
      <c r="H192">
        <v>51.3</v>
      </c>
      <c r="I192">
        <v>0</v>
      </c>
    </row>
    <row r="193" spans="1:9">
      <c r="A193" t="s">
        <v>1181</v>
      </c>
      <c r="B193" s="87">
        <v>1147.404</v>
      </c>
      <c r="C193" s="87">
        <v>39.5229</v>
      </c>
      <c r="D193" s="87">
        <v>41.618499999999997</v>
      </c>
      <c r="E193" s="87">
        <v>42.700499999999998</v>
      </c>
      <c r="F193" s="87">
        <v>1093.2</v>
      </c>
      <c r="G193" s="87">
        <v>2.82</v>
      </c>
      <c r="H193">
        <v>51.59</v>
      </c>
      <c r="I193">
        <v>0</v>
      </c>
    </row>
    <row r="194" spans="1:9">
      <c r="A194" t="s">
        <v>1182</v>
      </c>
      <c r="B194" s="87">
        <v>544.06640000000004</v>
      </c>
      <c r="C194" s="87">
        <v>35.620600000000003</v>
      </c>
      <c r="D194" s="87">
        <v>38.964199999999998</v>
      </c>
      <c r="E194" s="87">
        <v>40.145699999999998</v>
      </c>
      <c r="F194" s="87">
        <v>876.05</v>
      </c>
      <c r="G194" s="87">
        <v>2.06</v>
      </c>
      <c r="H194">
        <v>52.25</v>
      </c>
      <c r="I194">
        <v>0</v>
      </c>
    </row>
    <row r="195" spans="1:9">
      <c r="A195" t="s">
        <v>1183</v>
      </c>
      <c r="B195" s="87">
        <v>269.92880000000002</v>
      </c>
      <c r="C195" s="87">
        <v>32.331800000000001</v>
      </c>
      <c r="D195" s="87">
        <v>36.915799999999997</v>
      </c>
      <c r="E195" s="87">
        <v>38.163600000000002</v>
      </c>
      <c r="F195" s="87">
        <v>728.22</v>
      </c>
      <c r="G195" s="87">
        <v>1.71</v>
      </c>
      <c r="H195">
        <v>51.78</v>
      </c>
      <c r="I195">
        <v>0</v>
      </c>
    </row>
    <row r="196" spans="1:9">
      <c r="A196" t="s">
        <v>1184</v>
      </c>
      <c r="B196" s="87">
        <v>130.7664</v>
      </c>
      <c r="C196" s="87">
        <v>29.425000000000001</v>
      </c>
      <c r="D196" s="87">
        <v>35.321899999999999</v>
      </c>
      <c r="E196" s="87">
        <v>36.466099999999997</v>
      </c>
      <c r="F196" s="87">
        <v>615.74</v>
      </c>
      <c r="G196" s="87">
        <v>1.57</v>
      </c>
      <c r="H196">
        <v>51.9</v>
      </c>
      <c r="I196">
        <v>0</v>
      </c>
    </row>
    <row r="197" spans="1:9">
      <c r="A197" t="s">
        <v>1185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1186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1187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1188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1189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1190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1191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1192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1193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1194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1195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1196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1197</v>
      </c>
      <c r="B209" s="87">
        <v>3409.348</v>
      </c>
      <c r="C209" s="87">
        <v>41.019100000000002</v>
      </c>
      <c r="D209" s="87">
        <v>43.277999999999999</v>
      </c>
      <c r="E209" s="87">
        <v>43.886400000000002</v>
      </c>
      <c r="F209" s="87">
        <v>5903.37</v>
      </c>
      <c r="G209" s="87">
        <v>11.42</v>
      </c>
      <c r="H209">
        <v>134.31</v>
      </c>
      <c r="I209">
        <v>0</v>
      </c>
    </row>
    <row r="210" spans="1:9">
      <c r="A210" t="s">
        <v>1198</v>
      </c>
      <c r="B210" s="87">
        <v>1628.2552000000001</v>
      </c>
      <c r="C210" s="87">
        <v>37.690100000000001</v>
      </c>
      <c r="D210" s="87">
        <v>40.707900000000002</v>
      </c>
      <c r="E210" s="87">
        <v>40.918599999999998</v>
      </c>
      <c r="F210" s="87">
        <v>4861.37</v>
      </c>
      <c r="G210" s="87">
        <v>9.56</v>
      </c>
      <c r="H210">
        <v>133.05000000000001</v>
      </c>
      <c r="I210">
        <v>0</v>
      </c>
    </row>
    <row r="211" spans="1:9">
      <c r="A211" t="s">
        <v>1199</v>
      </c>
      <c r="B211" s="87">
        <v>846.7056</v>
      </c>
      <c r="C211" s="87">
        <v>34.664999999999999</v>
      </c>
      <c r="D211" s="87">
        <v>38.283999999999999</v>
      </c>
      <c r="E211" s="87">
        <v>38.337899999999998</v>
      </c>
      <c r="F211" s="87">
        <v>4200.51</v>
      </c>
      <c r="G211" s="87">
        <v>8.2200000000000006</v>
      </c>
      <c r="H211">
        <v>133.79</v>
      </c>
      <c r="I211">
        <v>0</v>
      </c>
    </row>
    <row r="212" spans="1:9">
      <c r="A212" t="s">
        <v>1200</v>
      </c>
      <c r="B212" s="87">
        <v>445.51600000000002</v>
      </c>
      <c r="C212" s="87">
        <v>31.884</v>
      </c>
      <c r="D212" s="87">
        <v>36.197800000000001</v>
      </c>
      <c r="E212" s="87">
        <v>36.076000000000001</v>
      </c>
      <c r="F212" s="87">
        <v>3636.54</v>
      </c>
      <c r="G212" s="87">
        <v>7.02</v>
      </c>
      <c r="H212">
        <v>132.86000000000001</v>
      </c>
      <c r="I212">
        <v>0</v>
      </c>
    </row>
    <row r="213" spans="1:9">
      <c r="A213" t="s">
        <v>1201</v>
      </c>
      <c r="B213" s="87">
        <v>4957.3882000000003</v>
      </c>
      <c r="C213" s="87">
        <v>42.852400000000003</v>
      </c>
      <c r="D213" s="87">
        <v>46.3474</v>
      </c>
      <c r="E213" s="87">
        <v>46.370800000000003</v>
      </c>
      <c r="F213" s="87">
        <v>15637.57</v>
      </c>
      <c r="G213" s="87">
        <v>24.46</v>
      </c>
      <c r="H213">
        <v>230.94</v>
      </c>
      <c r="I213">
        <v>0</v>
      </c>
    </row>
    <row r="214" spans="1:9">
      <c r="A214" t="s">
        <v>1202</v>
      </c>
      <c r="B214" s="87">
        <v>2449.5720000000001</v>
      </c>
      <c r="C214" s="87">
        <v>38.760899999999999</v>
      </c>
      <c r="D214" s="87">
        <v>43.636200000000002</v>
      </c>
      <c r="E214" s="87">
        <v>43.485300000000002</v>
      </c>
      <c r="F214" s="87">
        <v>12428.07</v>
      </c>
      <c r="G214" s="87">
        <v>19.77</v>
      </c>
      <c r="H214">
        <v>230.48</v>
      </c>
      <c r="I214">
        <v>0</v>
      </c>
    </row>
    <row r="215" spans="1:9">
      <c r="A215" t="s">
        <v>1203</v>
      </c>
      <c r="B215" s="87">
        <v>1288.5</v>
      </c>
      <c r="C215" s="87">
        <v>35.3277</v>
      </c>
      <c r="D215" s="87">
        <v>41.097900000000003</v>
      </c>
      <c r="E215" s="87">
        <v>40.976300000000002</v>
      </c>
      <c r="F215" s="87">
        <v>10005.9</v>
      </c>
      <c r="G215" s="87">
        <v>18.89</v>
      </c>
      <c r="H215">
        <v>227.13</v>
      </c>
      <c r="I215">
        <v>0</v>
      </c>
    </row>
    <row r="216" spans="1:9">
      <c r="A216" t="s">
        <v>1204</v>
      </c>
      <c r="B216" s="87">
        <v>654.29179999999997</v>
      </c>
      <c r="C216" s="87">
        <v>32.126399999999997</v>
      </c>
      <c r="D216" s="87">
        <v>39.191800000000001</v>
      </c>
      <c r="E216" s="87">
        <v>38.885899999999999</v>
      </c>
      <c r="F216" s="87">
        <v>8022.62</v>
      </c>
      <c r="G216" s="87">
        <v>14.13</v>
      </c>
      <c r="H216">
        <v>232.35</v>
      </c>
      <c r="I216">
        <v>0</v>
      </c>
    </row>
    <row r="217" spans="1:9">
      <c r="A217" t="s">
        <v>1205</v>
      </c>
      <c r="B217" s="87">
        <v>1427.14</v>
      </c>
      <c r="C217" s="87">
        <v>49.572499999999998</v>
      </c>
      <c r="D217" s="87">
        <v>48.136099999999999</v>
      </c>
      <c r="E217" s="87">
        <v>48.091500000000003</v>
      </c>
      <c r="F217" s="87">
        <v>3272.15</v>
      </c>
      <c r="G217" s="87">
        <v>7.78</v>
      </c>
      <c r="H217">
        <v>264.18</v>
      </c>
      <c r="I217">
        <v>0</v>
      </c>
    </row>
    <row r="218" spans="1:9">
      <c r="A218" t="s">
        <v>1206</v>
      </c>
      <c r="B218" s="87">
        <v>1080.3296</v>
      </c>
      <c r="C218" s="87">
        <v>45.3354</v>
      </c>
      <c r="D218" s="87">
        <v>43.823999999999998</v>
      </c>
      <c r="E218" s="87">
        <v>43.798000000000002</v>
      </c>
      <c r="F218" s="87">
        <v>3235.9</v>
      </c>
      <c r="G218" s="87">
        <v>8.9</v>
      </c>
      <c r="H218">
        <v>265.52</v>
      </c>
      <c r="I218">
        <v>0</v>
      </c>
    </row>
    <row r="219" spans="1:9">
      <c r="A219" t="s">
        <v>1207</v>
      </c>
      <c r="B219" s="87">
        <v>802.26400000000001</v>
      </c>
      <c r="C219" s="87">
        <v>40.7273</v>
      </c>
      <c r="D219" s="87">
        <v>39.732199999999999</v>
      </c>
      <c r="E219" s="87">
        <v>40.0197</v>
      </c>
      <c r="F219" s="87">
        <v>3178.03</v>
      </c>
      <c r="G219" s="87">
        <v>8.3699999999999992</v>
      </c>
      <c r="H219">
        <v>264.02999999999997</v>
      </c>
      <c r="I219">
        <v>0</v>
      </c>
    </row>
    <row r="220" spans="1:9">
      <c r="A220" t="s">
        <v>1208</v>
      </c>
      <c r="B220" s="87">
        <v>607.01679999999999</v>
      </c>
      <c r="C220" s="87">
        <v>35.912500000000001</v>
      </c>
      <c r="D220" s="87">
        <v>38.108499999999999</v>
      </c>
      <c r="E220" s="87">
        <v>37.8352</v>
      </c>
      <c r="F220" s="87">
        <v>3166.52</v>
      </c>
      <c r="G220" s="87">
        <v>7.33</v>
      </c>
      <c r="H220">
        <v>266.64999999999998</v>
      </c>
      <c r="I220">
        <v>0</v>
      </c>
    </row>
    <row r="221" spans="1:9">
      <c r="A221" t="s">
        <v>1209</v>
      </c>
      <c r="B221" s="87">
        <v>799.08320000000003</v>
      </c>
      <c r="C221" s="87">
        <v>51.468299999999999</v>
      </c>
      <c r="D221" s="87">
        <v>54.251600000000003</v>
      </c>
      <c r="E221" s="87">
        <v>55.207700000000003</v>
      </c>
      <c r="F221" s="87">
        <v>7207.72</v>
      </c>
      <c r="G221" s="87">
        <v>15.46</v>
      </c>
      <c r="H221">
        <v>263.20999999999998</v>
      </c>
      <c r="I221">
        <v>0</v>
      </c>
    </row>
    <row r="222" spans="1:9">
      <c r="A222" t="s">
        <v>1210</v>
      </c>
      <c r="B222" s="87">
        <v>488.68380000000002</v>
      </c>
      <c r="C222" s="87">
        <v>47.5015</v>
      </c>
      <c r="D222" s="87">
        <v>51.042000000000002</v>
      </c>
      <c r="E222" s="87">
        <v>52.2303</v>
      </c>
      <c r="F222" s="87">
        <v>6872.12</v>
      </c>
      <c r="G222" s="87">
        <v>13.55</v>
      </c>
      <c r="H222">
        <v>265.45</v>
      </c>
      <c r="I222">
        <v>0</v>
      </c>
    </row>
    <row r="223" spans="1:9">
      <c r="A223" t="s">
        <v>1211</v>
      </c>
      <c r="B223" s="87">
        <v>314.24610000000001</v>
      </c>
      <c r="C223" s="87">
        <v>43.811100000000003</v>
      </c>
      <c r="D223" s="87">
        <v>47.966500000000003</v>
      </c>
      <c r="E223" s="87">
        <v>49.056199999999997</v>
      </c>
      <c r="F223" s="87">
        <v>6663.94</v>
      </c>
      <c r="G223" s="87">
        <v>13.12</v>
      </c>
      <c r="H223">
        <v>265.75</v>
      </c>
      <c r="I223">
        <v>0</v>
      </c>
    </row>
    <row r="224" spans="1:9">
      <c r="A224" t="s">
        <v>1212</v>
      </c>
      <c r="B224" s="87">
        <v>206.8</v>
      </c>
      <c r="C224" s="87">
        <v>40.143599999999999</v>
      </c>
      <c r="D224" s="87">
        <v>45.369900000000001</v>
      </c>
      <c r="E224" s="87">
        <v>46.6145</v>
      </c>
      <c r="F224" s="87">
        <v>6318.41</v>
      </c>
      <c r="G224" s="87">
        <v>12.77</v>
      </c>
      <c r="H224">
        <v>261.91000000000003</v>
      </c>
      <c r="I224">
        <v>0</v>
      </c>
    </row>
    <row r="225" spans="1:9">
      <c r="A225" t="s">
        <v>1213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1214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1215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1216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1217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1218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1219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1220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1221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1222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1223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1224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1225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1226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1227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1228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1229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1230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1231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1232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1233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1234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1235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1236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1237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1238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1239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1240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1241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1242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1243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1244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1245</v>
      </c>
      <c r="B257" s="87">
        <v>4941.0544</v>
      </c>
      <c r="C257" s="87">
        <v>41.8005</v>
      </c>
      <c r="D257" s="87">
        <v>43.382599999999996</v>
      </c>
      <c r="E257" s="87">
        <v>44.9636</v>
      </c>
      <c r="F257" s="87">
        <v>11754.29</v>
      </c>
      <c r="G257" s="87">
        <v>22.74</v>
      </c>
      <c r="H257">
        <v>242.18</v>
      </c>
      <c r="I257">
        <v>0</v>
      </c>
    </row>
    <row r="258" spans="1:9">
      <c r="A258" t="s">
        <v>1246</v>
      </c>
      <c r="B258" s="87">
        <v>2216.9191999999998</v>
      </c>
      <c r="C258" s="87">
        <v>39.652200000000001</v>
      </c>
      <c r="D258" s="87">
        <v>41.697299999999998</v>
      </c>
      <c r="E258" s="87">
        <v>42.914999999999999</v>
      </c>
      <c r="F258" s="87">
        <v>9527.9699999999993</v>
      </c>
      <c r="G258" s="87">
        <v>18.559999999999999</v>
      </c>
      <c r="H258">
        <v>245.13</v>
      </c>
      <c r="I258">
        <v>0</v>
      </c>
    </row>
    <row r="259" spans="1:9">
      <c r="A259" t="s">
        <v>1247</v>
      </c>
      <c r="B259" s="87">
        <v>1099.7064</v>
      </c>
      <c r="C259" s="87">
        <v>37.151400000000002</v>
      </c>
      <c r="D259" s="87">
        <v>40.483499999999999</v>
      </c>
      <c r="E259" s="87">
        <v>41.685499999999998</v>
      </c>
      <c r="F259" s="87">
        <v>8330.57</v>
      </c>
      <c r="G259" s="87">
        <v>15.71</v>
      </c>
      <c r="H259">
        <v>238.32</v>
      </c>
      <c r="I259">
        <v>0</v>
      </c>
    </row>
    <row r="260" spans="1:9">
      <c r="A260" t="s">
        <v>1248</v>
      </c>
      <c r="B260" s="87">
        <v>554.28319999999997</v>
      </c>
      <c r="C260" s="87">
        <v>34.607199999999999</v>
      </c>
      <c r="D260" s="87">
        <v>39.605400000000003</v>
      </c>
      <c r="E260" s="87">
        <v>40.879800000000003</v>
      </c>
      <c r="F260" s="87">
        <v>7554.43</v>
      </c>
      <c r="G260" s="87">
        <v>14.31</v>
      </c>
      <c r="H260">
        <v>243.14</v>
      </c>
      <c r="I260">
        <v>0</v>
      </c>
    </row>
    <row r="261" spans="1:9">
      <c r="A261" t="s">
        <v>1249</v>
      </c>
      <c r="B261" s="87">
        <v>7766.0223999999998</v>
      </c>
      <c r="C261" s="87">
        <v>39.988100000000003</v>
      </c>
      <c r="D261" s="87">
        <v>42.0473</v>
      </c>
      <c r="E261" s="87">
        <v>43.252499999999998</v>
      </c>
      <c r="F261" s="87">
        <v>11785.34</v>
      </c>
      <c r="G261" s="87">
        <v>26.09</v>
      </c>
      <c r="H261">
        <v>238.2</v>
      </c>
      <c r="I261">
        <v>0</v>
      </c>
    </row>
    <row r="262" spans="1:9">
      <c r="A262" t="s">
        <v>1250</v>
      </c>
      <c r="B262" s="87">
        <v>3048.68</v>
      </c>
      <c r="C262" s="87">
        <v>37.011499999999998</v>
      </c>
      <c r="D262" s="87">
        <v>39.877400000000002</v>
      </c>
      <c r="E262" s="87">
        <v>40.922499999999999</v>
      </c>
      <c r="F262" s="87">
        <v>8809.9</v>
      </c>
      <c r="G262" s="87">
        <v>19.62</v>
      </c>
      <c r="H262">
        <v>237.39</v>
      </c>
      <c r="I262">
        <v>0</v>
      </c>
    </row>
    <row r="263" spans="1:9">
      <c r="A263" t="s">
        <v>1251</v>
      </c>
      <c r="B263" s="87">
        <v>1320.4480000000001</v>
      </c>
      <c r="C263" s="87">
        <v>34.233199999999997</v>
      </c>
      <c r="D263" s="87">
        <v>38.237000000000002</v>
      </c>
      <c r="E263" s="87">
        <v>39.522799999999997</v>
      </c>
      <c r="F263" s="87">
        <v>7687.16</v>
      </c>
      <c r="G263" s="87">
        <v>16.010000000000002</v>
      </c>
      <c r="H263">
        <v>247.03</v>
      </c>
      <c r="I263">
        <v>0</v>
      </c>
    </row>
    <row r="264" spans="1:9">
      <c r="A264" t="s">
        <v>1252</v>
      </c>
      <c r="B264" s="87">
        <v>575.91600000000005</v>
      </c>
      <c r="C264" s="87">
        <v>31.652100000000001</v>
      </c>
      <c r="D264" s="87">
        <v>37.088500000000003</v>
      </c>
      <c r="E264" s="87">
        <v>38.694000000000003</v>
      </c>
      <c r="F264" s="87">
        <v>7066.17</v>
      </c>
      <c r="G264" s="87">
        <v>16.100000000000001</v>
      </c>
      <c r="H264">
        <v>243.7</v>
      </c>
      <c r="I264">
        <v>0</v>
      </c>
    </row>
    <row r="265" spans="1:9">
      <c r="A265" t="s">
        <v>1253</v>
      </c>
      <c r="B265" s="87">
        <v>19656.309600000001</v>
      </c>
      <c r="C265" s="87">
        <v>38.735900000000001</v>
      </c>
      <c r="D265" s="87">
        <v>40.154899999999998</v>
      </c>
      <c r="E265" s="87">
        <v>43.503700000000002</v>
      </c>
      <c r="F265" s="87">
        <v>25781.56</v>
      </c>
      <c r="G265" s="87">
        <v>52.87</v>
      </c>
      <c r="H265">
        <v>241.41</v>
      </c>
      <c r="I265">
        <v>0</v>
      </c>
    </row>
    <row r="266" spans="1:9">
      <c r="A266" t="s">
        <v>1254</v>
      </c>
      <c r="B266" s="87">
        <v>5407.7936</v>
      </c>
      <c r="C266" s="87">
        <v>36.714599999999997</v>
      </c>
      <c r="D266" s="87">
        <v>38.929000000000002</v>
      </c>
      <c r="E266" s="87">
        <v>41.471600000000002</v>
      </c>
      <c r="F266" s="87">
        <v>18369.02</v>
      </c>
      <c r="G266" s="87">
        <v>37.049999999999997</v>
      </c>
      <c r="H266">
        <v>246.61</v>
      </c>
      <c r="I266">
        <v>0</v>
      </c>
    </row>
    <row r="267" spans="1:9">
      <c r="A267" t="s">
        <v>1255</v>
      </c>
      <c r="B267" s="87">
        <v>2516.6799999999998</v>
      </c>
      <c r="C267" s="87">
        <v>34.616900000000001</v>
      </c>
      <c r="D267" s="87">
        <v>38.028300000000002</v>
      </c>
      <c r="E267" s="87">
        <v>39.908200000000001</v>
      </c>
      <c r="F267" s="87">
        <v>15993.53</v>
      </c>
      <c r="G267" s="87">
        <v>30.81</v>
      </c>
      <c r="H267">
        <v>242.88</v>
      </c>
      <c r="I267">
        <v>0</v>
      </c>
    </row>
    <row r="268" spans="1:9">
      <c r="A268" t="s">
        <v>1256</v>
      </c>
      <c r="B268" s="87">
        <v>1260.0208</v>
      </c>
      <c r="C268" s="87">
        <v>32.313299999999998</v>
      </c>
      <c r="D268" s="87">
        <v>37.1937</v>
      </c>
      <c r="E268" s="87">
        <v>38.582599999999999</v>
      </c>
      <c r="F268" s="87">
        <v>14531.36</v>
      </c>
      <c r="G268" s="87">
        <v>28.34</v>
      </c>
      <c r="H268">
        <v>245.37</v>
      </c>
      <c r="I268">
        <v>0</v>
      </c>
    </row>
    <row r="269" spans="1:9">
      <c r="A269" t="s">
        <v>1257</v>
      </c>
      <c r="B269" s="87">
        <v>19085.524799999999</v>
      </c>
      <c r="C269" s="87">
        <v>39.471800000000002</v>
      </c>
      <c r="D269" s="87">
        <v>43.777500000000003</v>
      </c>
      <c r="E269" s="87">
        <v>45.014699999999998</v>
      </c>
      <c r="F269" s="87">
        <v>27350.42</v>
      </c>
      <c r="G269" s="87">
        <v>54.54</v>
      </c>
      <c r="H269">
        <v>247.78</v>
      </c>
      <c r="I269">
        <v>0</v>
      </c>
    </row>
    <row r="270" spans="1:9">
      <c r="A270" t="s">
        <v>1258</v>
      </c>
      <c r="B270" s="87">
        <v>6301.0504000000001</v>
      </c>
      <c r="C270" s="87">
        <v>37.481200000000001</v>
      </c>
      <c r="D270" s="87">
        <v>42.281199999999998</v>
      </c>
      <c r="E270" s="87">
        <v>42.724699999999999</v>
      </c>
      <c r="F270" s="87">
        <v>21022.89</v>
      </c>
      <c r="G270" s="87">
        <v>49.08</v>
      </c>
      <c r="H270">
        <v>242.95</v>
      </c>
      <c r="I270">
        <v>0</v>
      </c>
    </row>
    <row r="271" spans="1:9">
      <c r="A271" t="s">
        <v>1259</v>
      </c>
      <c r="B271" s="87">
        <v>3021.6432</v>
      </c>
      <c r="C271" s="87">
        <v>35.535699999999999</v>
      </c>
      <c r="D271" s="87">
        <v>41.069400000000002</v>
      </c>
      <c r="E271" s="87">
        <v>41.023699999999998</v>
      </c>
      <c r="F271" s="87">
        <v>17716.11</v>
      </c>
      <c r="G271" s="87">
        <v>34.68</v>
      </c>
      <c r="H271">
        <v>244.53</v>
      </c>
      <c r="I271">
        <v>0</v>
      </c>
    </row>
    <row r="272" spans="1:9">
      <c r="A272" t="s">
        <v>1260</v>
      </c>
      <c r="B272" s="87">
        <v>1573.2816</v>
      </c>
      <c r="C272" s="87">
        <v>33.438099999999999</v>
      </c>
      <c r="D272" s="87">
        <v>40.003500000000003</v>
      </c>
      <c r="E272" s="87">
        <v>39.601399999999998</v>
      </c>
      <c r="F272" s="87">
        <v>16184.88</v>
      </c>
      <c r="G272" s="87">
        <v>32.020000000000003</v>
      </c>
      <c r="H272">
        <v>240.47</v>
      </c>
      <c r="I272">
        <v>0</v>
      </c>
    </row>
    <row r="273" spans="1:9">
      <c r="A273" t="s">
        <v>1261</v>
      </c>
      <c r="B273" s="87">
        <v>51739.519200000002</v>
      </c>
      <c r="C273" s="87">
        <v>38.231400000000001</v>
      </c>
      <c r="D273" s="87">
        <v>42.083500000000001</v>
      </c>
      <c r="E273" s="87">
        <v>44.294499999999999</v>
      </c>
      <c r="F273" s="87">
        <v>38659.39</v>
      </c>
      <c r="G273" s="87">
        <v>90.88</v>
      </c>
      <c r="H273">
        <v>244.49</v>
      </c>
      <c r="I273">
        <v>0</v>
      </c>
    </row>
    <row r="274" spans="1:9">
      <c r="A274" t="s">
        <v>1262</v>
      </c>
      <c r="B274" s="87">
        <v>7377.4480000000003</v>
      </c>
      <c r="C274" s="87">
        <v>35.400599999999997</v>
      </c>
      <c r="D274" s="87">
        <v>40.554099999999998</v>
      </c>
      <c r="E274" s="87">
        <v>42.981000000000002</v>
      </c>
      <c r="F274" s="87">
        <v>21562.83</v>
      </c>
      <c r="G274" s="87">
        <v>46.46</v>
      </c>
      <c r="H274">
        <v>240.3</v>
      </c>
      <c r="I274">
        <v>0</v>
      </c>
    </row>
    <row r="275" spans="1:9">
      <c r="A275" t="s">
        <v>1263</v>
      </c>
      <c r="B275" s="87">
        <v>1968.5016000000001</v>
      </c>
      <c r="C275" s="87">
        <v>33.587299999999999</v>
      </c>
      <c r="D275" s="87">
        <v>39.256100000000004</v>
      </c>
      <c r="E275" s="87">
        <v>41.917400000000001</v>
      </c>
      <c r="F275" s="87">
        <v>17295.43</v>
      </c>
      <c r="G275" s="87">
        <v>36.33</v>
      </c>
      <c r="H275">
        <v>244.41</v>
      </c>
      <c r="I275">
        <v>0</v>
      </c>
    </row>
    <row r="276" spans="1:9">
      <c r="A276" t="s">
        <v>1264</v>
      </c>
      <c r="B276" s="87">
        <v>754.98320000000001</v>
      </c>
      <c r="C276" s="87">
        <v>31.35</v>
      </c>
      <c r="D276" s="87">
        <v>38.288200000000003</v>
      </c>
      <c r="E276" s="87">
        <v>41.015000000000001</v>
      </c>
      <c r="F276" s="87">
        <v>15822.93</v>
      </c>
      <c r="G276" s="87">
        <v>32.17</v>
      </c>
      <c r="H276">
        <v>242.12</v>
      </c>
      <c r="I276">
        <v>0</v>
      </c>
    </row>
    <row r="277" spans="1:9">
      <c r="A277" t="s">
        <v>1265</v>
      </c>
      <c r="B277" s="87">
        <v>3525.6880000000001</v>
      </c>
      <c r="C277" s="87">
        <v>40.323500000000003</v>
      </c>
      <c r="D277" s="87">
        <v>42.763399999999997</v>
      </c>
      <c r="E277" s="87">
        <v>43.312899999999999</v>
      </c>
      <c r="F277" s="87">
        <v>6627.71</v>
      </c>
      <c r="G277" s="87">
        <v>13.26</v>
      </c>
      <c r="H277">
        <v>62.28</v>
      </c>
      <c r="I277">
        <v>0</v>
      </c>
    </row>
    <row r="278" spans="1:9">
      <c r="A278" t="s">
        <v>1266</v>
      </c>
      <c r="B278" s="87">
        <v>1611.404</v>
      </c>
      <c r="C278" s="87">
        <v>36.979599999999998</v>
      </c>
      <c r="D278" s="87">
        <v>40.037799999999997</v>
      </c>
      <c r="E278" s="87">
        <v>40.345300000000002</v>
      </c>
      <c r="F278" s="87">
        <v>5256.28</v>
      </c>
      <c r="G278" s="87">
        <v>10.4</v>
      </c>
      <c r="H278">
        <v>61.99</v>
      </c>
      <c r="I278">
        <v>0</v>
      </c>
    </row>
    <row r="279" spans="1:9">
      <c r="A279" t="s">
        <v>1267</v>
      </c>
      <c r="B279" s="87">
        <v>796.72879999999998</v>
      </c>
      <c r="C279" s="87">
        <v>34.069400000000002</v>
      </c>
      <c r="D279" s="87">
        <v>38.131700000000002</v>
      </c>
      <c r="E279" s="87">
        <v>38.325299999999999</v>
      </c>
      <c r="F279" s="87">
        <v>4557.68</v>
      </c>
      <c r="G279" s="87">
        <v>9.44</v>
      </c>
      <c r="H279">
        <v>61.76</v>
      </c>
      <c r="I279">
        <v>0</v>
      </c>
    </row>
    <row r="280" spans="1:9">
      <c r="A280" t="s">
        <v>1268</v>
      </c>
      <c r="B280" s="87">
        <v>416.29840000000002</v>
      </c>
      <c r="C280" s="87">
        <v>31.557600000000001</v>
      </c>
      <c r="D280" s="87">
        <v>36.578600000000002</v>
      </c>
      <c r="E280" s="87">
        <v>36.554900000000004</v>
      </c>
      <c r="F280" s="87">
        <v>3859.92</v>
      </c>
      <c r="G280" s="87">
        <v>8.32</v>
      </c>
      <c r="H280">
        <v>61.6</v>
      </c>
      <c r="I280">
        <v>0</v>
      </c>
    </row>
    <row r="281" spans="1:9">
      <c r="A281" t="s">
        <v>1269</v>
      </c>
      <c r="B281" s="87">
        <v>4062.3712</v>
      </c>
      <c r="C281" s="87">
        <v>40.2196</v>
      </c>
      <c r="D281" s="87">
        <v>43.195700000000002</v>
      </c>
      <c r="E281" s="87">
        <v>44.618899999999996</v>
      </c>
      <c r="F281" s="87">
        <v>7246.53</v>
      </c>
      <c r="G281" s="87">
        <v>16.47</v>
      </c>
      <c r="H281">
        <v>61.91</v>
      </c>
      <c r="I281">
        <v>0</v>
      </c>
    </row>
    <row r="282" spans="1:9">
      <c r="A282" t="s">
        <v>1270</v>
      </c>
      <c r="B282" s="87">
        <v>1786.8576</v>
      </c>
      <c r="C282" s="87">
        <v>37.252600000000001</v>
      </c>
      <c r="D282" s="87">
        <v>40.996899999999997</v>
      </c>
      <c r="E282" s="87">
        <v>42.058900000000001</v>
      </c>
      <c r="F282" s="87">
        <v>5879.36</v>
      </c>
      <c r="G282" s="87">
        <v>11.67</v>
      </c>
      <c r="H282">
        <v>62.33</v>
      </c>
      <c r="I282">
        <v>0</v>
      </c>
    </row>
    <row r="283" spans="1:9">
      <c r="A283" t="s">
        <v>1271</v>
      </c>
      <c r="B283" s="87">
        <v>884.54240000000004</v>
      </c>
      <c r="C283" s="87">
        <v>34.296399999999998</v>
      </c>
      <c r="D283" s="87">
        <v>39.264099999999999</v>
      </c>
      <c r="E283" s="87">
        <v>40.1937</v>
      </c>
      <c r="F283" s="87">
        <v>5022.8599999999997</v>
      </c>
      <c r="G283" s="87">
        <v>10.92</v>
      </c>
      <c r="H283">
        <v>64.02</v>
      </c>
      <c r="I283">
        <v>0</v>
      </c>
    </row>
    <row r="284" spans="1:9">
      <c r="A284" t="s">
        <v>1272</v>
      </c>
      <c r="B284" s="87">
        <v>454.55279999999999</v>
      </c>
      <c r="C284" s="87">
        <v>31.395299999999999</v>
      </c>
      <c r="D284" s="87">
        <v>37.981099999999998</v>
      </c>
      <c r="E284" s="87">
        <v>38.777000000000001</v>
      </c>
      <c r="F284" s="87">
        <v>4506.7</v>
      </c>
      <c r="G284" s="87">
        <v>8.61</v>
      </c>
      <c r="H284">
        <v>62.18</v>
      </c>
      <c r="I284">
        <v>0</v>
      </c>
    </row>
    <row r="285" spans="1:9">
      <c r="A285" t="s">
        <v>1273</v>
      </c>
      <c r="B285" s="87">
        <v>7829.8792000000003</v>
      </c>
      <c r="C285" s="87">
        <v>38.416200000000003</v>
      </c>
      <c r="D285" s="87">
        <v>41.147100000000002</v>
      </c>
      <c r="E285" s="87">
        <v>42.058500000000002</v>
      </c>
      <c r="F285" s="87">
        <v>8050.86</v>
      </c>
      <c r="G285" s="87">
        <v>16.84</v>
      </c>
      <c r="H285">
        <v>62.76</v>
      </c>
      <c r="I285">
        <v>0</v>
      </c>
    </row>
    <row r="286" spans="1:9">
      <c r="A286" t="s">
        <v>1274</v>
      </c>
      <c r="B286" s="87">
        <v>3262.1167999999998</v>
      </c>
      <c r="C286" s="87">
        <v>34.473199999999999</v>
      </c>
      <c r="D286" s="87">
        <v>38.336399999999998</v>
      </c>
      <c r="E286" s="87">
        <v>39.157800000000002</v>
      </c>
      <c r="F286" s="87">
        <v>5664.54</v>
      </c>
      <c r="G286" s="87">
        <v>10.15</v>
      </c>
      <c r="H286">
        <v>62.38</v>
      </c>
      <c r="I286">
        <v>0</v>
      </c>
    </row>
    <row r="287" spans="1:9">
      <c r="A287" t="s">
        <v>1275</v>
      </c>
      <c r="B287" s="87">
        <v>1474.1112000000001</v>
      </c>
      <c r="C287" s="87">
        <v>31.049700000000001</v>
      </c>
      <c r="D287" s="87">
        <v>36.421999999999997</v>
      </c>
      <c r="E287" s="87">
        <v>37.220599999999997</v>
      </c>
      <c r="F287" s="87">
        <v>4853.75</v>
      </c>
      <c r="G287" s="87">
        <v>9.8800000000000008</v>
      </c>
      <c r="H287">
        <v>61.84</v>
      </c>
      <c r="I287">
        <v>0</v>
      </c>
    </row>
    <row r="288" spans="1:9">
      <c r="A288" t="s">
        <v>1276</v>
      </c>
      <c r="B288" s="87">
        <v>643.47360000000003</v>
      </c>
      <c r="C288" s="87">
        <v>27.832699999999999</v>
      </c>
      <c r="D288" s="87">
        <v>35.002600000000001</v>
      </c>
      <c r="E288" s="87">
        <v>35.769100000000002</v>
      </c>
      <c r="F288" s="87">
        <v>4079.91</v>
      </c>
      <c r="G288" s="87">
        <v>8.57</v>
      </c>
      <c r="H288">
        <v>61.31</v>
      </c>
      <c r="I288">
        <v>0</v>
      </c>
    </row>
    <row r="289" spans="1:9">
      <c r="A289" t="s">
        <v>1277</v>
      </c>
      <c r="B289">
        <v>5453.5551999999998</v>
      </c>
      <c r="C289">
        <v>39.824100000000001</v>
      </c>
      <c r="D289">
        <v>41.434600000000003</v>
      </c>
      <c r="E289">
        <v>42.8277</v>
      </c>
      <c r="F289">
        <v>5178.5600000000004</v>
      </c>
      <c r="G289">
        <v>10.6</v>
      </c>
      <c r="H289">
        <v>62.6</v>
      </c>
      <c r="I289">
        <v>0</v>
      </c>
    </row>
    <row r="290" spans="1:9">
      <c r="A290" t="s">
        <v>1278</v>
      </c>
      <c r="B290">
        <v>2134.5576000000001</v>
      </c>
      <c r="C290">
        <v>36.090000000000003</v>
      </c>
      <c r="D290">
        <v>38.770600000000002</v>
      </c>
      <c r="E290">
        <v>40.405799999999999</v>
      </c>
      <c r="F290">
        <v>4117.1499999999996</v>
      </c>
      <c r="G290">
        <v>8.5299999999999994</v>
      </c>
      <c r="H290">
        <v>62.4</v>
      </c>
      <c r="I290">
        <v>0</v>
      </c>
    </row>
    <row r="291" spans="1:9">
      <c r="A291" t="s">
        <v>1279</v>
      </c>
      <c r="B291">
        <v>980.27599999999995</v>
      </c>
      <c r="C291">
        <v>33.030900000000003</v>
      </c>
      <c r="D291">
        <v>37.023699999999998</v>
      </c>
      <c r="E291">
        <v>38.751800000000003</v>
      </c>
      <c r="F291">
        <v>3422.51</v>
      </c>
      <c r="G291">
        <v>7.24</v>
      </c>
      <c r="H291">
        <v>61.39</v>
      </c>
      <c r="I291">
        <v>0</v>
      </c>
    </row>
    <row r="292" spans="1:9">
      <c r="A292" t="s">
        <v>1280</v>
      </c>
      <c r="B292">
        <v>458.18799999999999</v>
      </c>
      <c r="C292">
        <v>30.213899999999999</v>
      </c>
      <c r="D292">
        <v>35.729799999999997</v>
      </c>
      <c r="E292">
        <v>37.438499999999998</v>
      </c>
      <c r="F292">
        <v>2874.58</v>
      </c>
      <c r="G292">
        <v>6.06</v>
      </c>
      <c r="H292">
        <v>61.16</v>
      </c>
      <c r="I292">
        <v>0</v>
      </c>
    </row>
    <row r="293" spans="1:9">
      <c r="A293" t="s">
        <v>1281</v>
      </c>
      <c r="B293">
        <v>1658.1184000000001</v>
      </c>
      <c r="C293">
        <v>40.939799999999998</v>
      </c>
      <c r="D293">
        <v>43.606000000000002</v>
      </c>
      <c r="E293">
        <v>42.996699999999997</v>
      </c>
      <c r="F293">
        <v>1715.25</v>
      </c>
      <c r="G293">
        <v>4.0199999999999996</v>
      </c>
      <c r="H293">
        <v>25.56</v>
      </c>
      <c r="I293">
        <v>0</v>
      </c>
    </row>
    <row r="294" spans="1:9">
      <c r="A294" t="s">
        <v>1282</v>
      </c>
      <c r="B294">
        <v>802.99199999999996</v>
      </c>
      <c r="C294">
        <v>36.887</v>
      </c>
      <c r="D294">
        <v>40.709299999999999</v>
      </c>
      <c r="E294">
        <v>39.693899999999999</v>
      </c>
      <c r="F294">
        <v>1417.49</v>
      </c>
      <c r="G294">
        <v>3.18</v>
      </c>
      <c r="H294">
        <v>25.52</v>
      </c>
      <c r="I294">
        <v>0</v>
      </c>
    </row>
    <row r="295" spans="1:9">
      <c r="A295" t="s">
        <v>1283</v>
      </c>
      <c r="B295">
        <v>405.12720000000002</v>
      </c>
      <c r="C295">
        <v>33.469099999999997</v>
      </c>
      <c r="D295">
        <v>38.835000000000001</v>
      </c>
      <c r="E295">
        <v>37.623100000000001</v>
      </c>
      <c r="F295">
        <v>1214.3499999999999</v>
      </c>
      <c r="G295">
        <v>2.48</v>
      </c>
      <c r="H295">
        <v>25.91</v>
      </c>
      <c r="I295">
        <v>0</v>
      </c>
    </row>
    <row r="296" spans="1:9">
      <c r="A296" t="s">
        <v>1284</v>
      </c>
      <c r="B296">
        <v>208.71600000000001</v>
      </c>
      <c r="C296">
        <v>30.603400000000001</v>
      </c>
      <c r="D296">
        <v>37.355699999999999</v>
      </c>
      <c r="E296">
        <v>35.968800000000002</v>
      </c>
      <c r="F296">
        <v>1065.18</v>
      </c>
      <c r="G296">
        <v>2.2400000000000002</v>
      </c>
      <c r="H296">
        <v>24.85</v>
      </c>
      <c r="I296">
        <v>0</v>
      </c>
    </row>
    <row r="297" spans="1:9">
      <c r="A297" t="s">
        <v>1285</v>
      </c>
      <c r="B297">
        <v>2176.9295999999999</v>
      </c>
      <c r="C297">
        <v>38.435499999999998</v>
      </c>
      <c r="D297">
        <v>42.7898</v>
      </c>
      <c r="E297">
        <v>43.8307</v>
      </c>
      <c r="F297">
        <v>2195.64</v>
      </c>
      <c r="G297">
        <v>5.29</v>
      </c>
      <c r="H297">
        <v>25.32</v>
      </c>
      <c r="I297">
        <v>0</v>
      </c>
    </row>
    <row r="298" spans="1:9">
      <c r="A298" t="s">
        <v>1286</v>
      </c>
      <c r="B298">
        <v>749.66959999999995</v>
      </c>
      <c r="C298">
        <v>34.4893</v>
      </c>
      <c r="D298">
        <v>40.782699999999998</v>
      </c>
      <c r="E298">
        <v>41.662500000000001</v>
      </c>
      <c r="F298">
        <v>1585.33</v>
      </c>
      <c r="G298">
        <v>4.32</v>
      </c>
      <c r="H298">
        <v>26</v>
      </c>
      <c r="I298">
        <v>0</v>
      </c>
    </row>
    <row r="299" spans="1:9">
      <c r="A299" t="s">
        <v>1287</v>
      </c>
      <c r="B299">
        <v>305.69760000000002</v>
      </c>
      <c r="C299">
        <v>31.345199999999998</v>
      </c>
      <c r="D299">
        <v>39.376399999999997</v>
      </c>
      <c r="E299">
        <v>40.2209</v>
      </c>
      <c r="F299">
        <v>1235.6099999999999</v>
      </c>
      <c r="G299">
        <v>2.81</v>
      </c>
      <c r="H299">
        <v>25.23</v>
      </c>
      <c r="I299">
        <v>0</v>
      </c>
    </row>
    <row r="300" spans="1:9">
      <c r="A300" t="s">
        <v>1288</v>
      </c>
      <c r="B300">
        <v>126.6944</v>
      </c>
      <c r="C300">
        <v>28.222899999999999</v>
      </c>
      <c r="D300">
        <v>38.246200000000002</v>
      </c>
      <c r="E300">
        <v>39.011299999999999</v>
      </c>
      <c r="F300">
        <v>1056.8499999999999</v>
      </c>
      <c r="G300">
        <v>2.42</v>
      </c>
      <c r="H300">
        <v>25.93</v>
      </c>
      <c r="I300">
        <v>0</v>
      </c>
    </row>
    <row r="301" spans="1:9">
      <c r="A301" t="s">
        <v>1289</v>
      </c>
      <c r="B301">
        <v>1896.2208000000001</v>
      </c>
      <c r="C301">
        <v>38.160400000000003</v>
      </c>
      <c r="D301">
        <v>40.8459</v>
      </c>
      <c r="E301">
        <v>41.614400000000003</v>
      </c>
      <c r="F301">
        <v>1787.82</v>
      </c>
      <c r="G301">
        <v>4.24</v>
      </c>
      <c r="H301">
        <v>25.48</v>
      </c>
      <c r="I301">
        <v>0</v>
      </c>
    </row>
    <row r="302" spans="1:9">
      <c r="A302" t="s">
        <v>1290</v>
      </c>
      <c r="B302">
        <v>788.88239999999996</v>
      </c>
      <c r="C302">
        <v>34.301200000000001</v>
      </c>
      <c r="D302">
        <v>38.057299999999998</v>
      </c>
      <c r="E302">
        <v>38.655700000000003</v>
      </c>
      <c r="F302">
        <v>1357.97</v>
      </c>
      <c r="G302">
        <v>3.26</v>
      </c>
      <c r="H302">
        <v>25.54</v>
      </c>
      <c r="I302">
        <v>0</v>
      </c>
    </row>
    <row r="303" spans="1:9">
      <c r="A303" t="s">
        <v>1291</v>
      </c>
      <c r="B303">
        <v>346.81279999999998</v>
      </c>
      <c r="C303">
        <v>30.848299999999998</v>
      </c>
      <c r="D303">
        <v>35.992100000000001</v>
      </c>
      <c r="E303">
        <v>36.610500000000002</v>
      </c>
      <c r="F303">
        <v>1076.3800000000001</v>
      </c>
      <c r="G303">
        <v>2.65</v>
      </c>
      <c r="H303">
        <v>26.05</v>
      </c>
      <c r="I303">
        <v>0</v>
      </c>
    </row>
    <row r="304" spans="1:9">
      <c r="A304" t="s">
        <v>1292</v>
      </c>
      <c r="B304">
        <v>149.1952</v>
      </c>
      <c r="C304">
        <v>27.781199999999998</v>
      </c>
      <c r="D304">
        <v>34.552599999999998</v>
      </c>
      <c r="E304">
        <v>35.1755</v>
      </c>
      <c r="F304">
        <v>863.09</v>
      </c>
      <c r="G304">
        <v>1.6</v>
      </c>
      <c r="H304">
        <v>25.59</v>
      </c>
      <c r="I304">
        <v>0</v>
      </c>
    </row>
    <row r="305" spans="1:9">
      <c r="A305" t="s">
        <v>1293</v>
      </c>
      <c r="B305">
        <v>1294.384</v>
      </c>
      <c r="C305">
        <v>39.892699999999998</v>
      </c>
      <c r="D305">
        <v>41.253100000000003</v>
      </c>
      <c r="E305">
        <v>42.336799999999997</v>
      </c>
      <c r="F305">
        <v>1211.27</v>
      </c>
      <c r="G305">
        <v>2.84</v>
      </c>
      <c r="H305">
        <v>25.95</v>
      </c>
      <c r="I305">
        <v>0</v>
      </c>
    </row>
    <row r="306" spans="1:9">
      <c r="A306" t="s">
        <v>1294</v>
      </c>
      <c r="B306">
        <v>602.98879999999997</v>
      </c>
      <c r="C306">
        <v>35.706400000000002</v>
      </c>
      <c r="D306">
        <v>38.328899999999997</v>
      </c>
      <c r="E306">
        <v>39.542000000000002</v>
      </c>
      <c r="F306">
        <v>988.8</v>
      </c>
      <c r="G306">
        <v>2.2000000000000002</v>
      </c>
      <c r="H306">
        <v>25.36</v>
      </c>
      <c r="I306">
        <v>0</v>
      </c>
    </row>
    <row r="307" spans="1:9">
      <c r="A307" t="s">
        <v>1295</v>
      </c>
      <c r="B307">
        <v>292.99279999999999</v>
      </c>
      <c r="C307">
        <v>32.187399999999997</v>
      </c>
      <c r="D307">
        <v>36.454900000000002</v>
      </c>
      <c r="E307">
        <v>37.608699999999999</v>
      </c>
      <c r="F307">
        <v>809.29</v>
      </c>
      <c r="G307">
        <v>1.75</v>
      </c>
      <c r="H307">
        <v>25.92</v>
      </c>
      <c r="I307">
        <v>0</v>
      </c>
    </row>
    <row r="308" spans="1:9">
      <c r="A308" t="s">
        <v>1296</v>
      </c>
      <c r="B308">
        <v>143.54</v>
      </c>
      <c r="C308">
        <v>29.3674</v>
      </c>
      <c r="D308">
        <v>35.022100000000002</v>
      </c>
      <c r="E308">
        <v>36.097499999999997</v>
      </c>
      <c r="F308">
        <v>696.57</v>
      </c>
      <c r="G308">
        <v>1.48</v>
      </c>
      <c r="H308">
        <v>26.06</v>
      </c>
      <c r="I308">
        <v>0</v>
      </c>
    </row>
    <row r="309" spans="1:9">
      <c r="A309" t="s">
        <v>1297</v>
      </c>
      <c r="B309">
        <v>2149.8031999999998</v>
      </c>
      <c r="C309">
        <v>42.773099999999999</v>
      </c>
      <c r="D309">
        <v>46.571899999999999</v>
      </c>
      <c r="E309">
        <v>47.8962</v>
      </c>
      <c r="F309">
        <v>10790.43</v>
      </c>
      <c r="G309">
        <v>20.39</v>
      </c>
      <c r="H309">
        <v>121.43</v>
      </c>
      <c r="I309">
        <v>0</v>
      </c>
    </row>
    <row r="310" spans="1:9">
      <c r="A310" t="s">
        <v>1298</v>
      </c>
      <c r="B310">
        <v>828.44719999999995</v>
      </c>
      <c r="C310">
        <v>40.382599999999996</v>
      </c>
      <c r="D310">
        <v>44.508299999999998</v>
      </c>
      <c r="E310">
        <v>45.726999999999997</v>
      </c>
      <c r="F310">
        <v>9412.4500000000007</v>
      </c>
      <c r="G310">
        <v>17.170000000000002</v>
      </c>
      <c r="H310">
        <v>124.11</v>
      </c>
      <c r="I310">
        <v>0</v>
      </c>
    </row>
    <row r="311" spans="1:9">
      <c r="A311" t="s">
        <v>1299</v>
      </c>
      <c r="B311">
        <v>413.38720000000001</v>
      </c>
      <c r="C311">
        <v>37.701000000000001</v>
      </c>
      <c r="D311">
        <v>42.7209</v>
      </c>
      <c r="E311">
        <v>43.879800000000003</v>
      </c>
      <c r="F311">
        <v>8572.02</v>
      </c>
      <c r="G311">
        <v>16.09</v>
      </c>
      <c r="H311">
        <v>125.95</v>
      </c>
      <c r="I311">
        <v>0</v>
      </c>
    </row>
    <row r="312" spans="1:9">
      <c r="A312" t="s">
        <v>1300</v>
      </c>
      <c r="B312">
        <v>218.63040000000001</v>
      </c>
      <c r="C312">
        <v>34.762300000000003</v>
      </c>
      <c r="D312">
        <v>41.1325</v>
      </c>
      <c r="E312">
        <v>42.265900000000002</v>
      </c>
      <c r="F312">
        <v>8169.21</v>
      </c>
      <c r="G312">
        <v>14.49</v>
      </c>
      <c r="H312">
        <v>121.63</v>
      </c>
      <c r="I312">
        <v>0</v>
      </c>
    </row>
    <row r="313" spans="1:9">
      <c r="A313" t="s">
        <v>1301</v>
      </c>
      <c r="B313">
        <v>1461.4872</v>
      </c>
      <c r="C313">
        <v>43.154800000000002</v>
      </c>
      <c r="D313">
        <v>48.201300000000003</v>
      </c>
      <c r="E313">
        <v>48.941099999999999</v>
      </c>
      <c r="F313">
        <v>10162.549999999999</v>
      </c>
      <c r="G313">
        <v>19.2</v>
      </c>
      <c r="H313">
        <v>121.58</v>
      </c>
      <c r="I313">
        <v>0</v>
      </c>
    </row>
    <row r="314" spans="1:9">
      <c r="A314" t="s">
        <v>1302</v>
      </c>
      <c r="B314">
        <v>399.7944</v>
      </c>
      <c r="C314">
        <v>41.293199999999999</v>
      </c>
      <c r="D314">
        <v>46.487299999999998</v>
      </c>
      <c r="E314">
        <v>47.137599999999999</v>
      </c>
      <c r="F314">
        <v>8673.9</v>
      </c>
      <c r="G314">
        <v>18.84</v>
      </c>
      <c r="H314">
        <v>123.49</v>
      </c>
      <c r="I314">
        <v>0</v>
      </c>
    </row>
    <row r="315" spans="1:9">
      <c r="A315" t="s">
        <v>1303</v>
      </c>
      <c r="B315">
        <v>180.13679999999999</v>
      </c>
      <c r="C315">
        <v>39.107300000000002</v>
      </c>
      <c r="D315">
        <v>44.867400000000004</v>
      </c>
      <c r="E315">
        <v>45.528700000000001</v>
      </c>
      <c r="F315">
        <v>8155.76</v>
      </c>
      <c r="G315">
        <v>14.22</v>
      </c>
      <c r="H315">
        <v>121.76</v>
      </c>
      <c r="I315">
        <v>0</v>
      </c>
    </row>
    <row r="316" spans="1:9">
      <c r="A316" t="s">
        <v>1304</v>
      </c>
      <c r="B316">
        <v>94.404799999999994</v>
      </c>
      <c r="C316">
        <v>36.588900000000002</v>
      </c>
      <c r="D316">
        <v>43.112499999999997</v>
      </c>
      <c r="E316">
        <v>43.4878</v>
      </c>
      <c r="F316">
        <v>8907</v>
      </c>
      <c r="G316">
        <v>16.38</v>
      </c>
      <c r="H316">
        <v>124.84</v>
      </c>
      <c r="I316">
        <v>0</v>
      </c>
    </row>
    <row r="317" spans="1:9">
      <c r="A317" t="s">
        <v>1305</v>
      </c>
      <c r="B317">
        <v>1896.8088</v>
      </c>
      <c r="C317">
        <v>43.441000000000003</v>
      </c>
      <c r="D317">
        <v>47.414000000000001</v>
      </c>
      <c r="E317">
        <v>48.393300000000004</v>
      </c>
      <c r="F317">
        <v>10966.29</v>
      </c>
      <c r="G317">
        <v>23.06</v>
      </c>
      <c r="H317">
        <v>119.69</v>
      </c>
      <c r="I317">
        <v>0</v>
      </c>
    </row>
    <row r="318" spans="1:9">
      <c r="A318" t="s">
        <v>1306</v>
      </c>
      <c r="B318">
        <v>668.00559999999996</v>
      </c>
      <c r="C318">
        <v>41.244300000000003</v>
      </c>
      <c r="D318">
        <v>45.462699999999998</v>
      </c>
      <c r="E318">
        <v>46.339700000000001</v>
      </c>
      <c r="F318">
        <v>9532.51</v>
      </c>
      <c r="G318">
        <v>18.54</v>
      </c>
      <c r="H318">
        <v>123.52</v>
      </c>
      <c r="I318">
        <v>0</v>
      </c>
    </row>
    <row r="319" spans="1:9">
      <c r="A319" t="s">
        <v>1307</v>
      </c>
      <c r="B319">
        <v>308.56319999999999</v>
      </c>
      <c r="C319">
        <v>38.790399999999998</v>
      </c>
      <c r="D319">
        <v>43.735399999999998</v>
      </c>
      <c r="E319">
        <v>44.705500000000001</v>
      </c>
      <c r="F319">
        <v>8674.5400000000009</v>
      </c>
      <c r="G319">
        <v>15.68</v>
      </c>
      <c r="H319">
        <v>126.26</v>
      </c>
      <c r="I319">
        <v>0</v>
      </c>
    </row>
    <row r="320" spans="1:9">
      <c r="A320" t="s">
        <v>1308</v>
      </c>
      <c r="B320">
        <v>159.6208</v>
      </c>
      <c r="C320">
        <v>36.087600000000002</v>
      </c>
      <c r="D320">
        <v>42.055700000000002</v>
      </c>
      <c r="E320">
        <v>42.970599999999997</v>
      </c>
      <c r="F320">
        <v>8311.8700000000008</v>
      </c>
      <c r="G320">
        <v>14.82</v>
      </c>
      <c r="H320">
        <v>120.86</v>
      </c>
      <c r="I320">
        <v>0</v>
      </c>
    </row>
    <row r="321" spans="1:9">
      <c r="A321" t="s">
        <v>1309</v>
      </c>
      <c r="B321">
        <v>3745.2303999999999</v>
      </c>
      <c r="C321">
        <v>40.4512</v>
      </c>
      <c r="D321">
        <v>42.578499999999998</v>
      </c>
      <c r="E321">
        <v>43.128300000000003</v>
      </c>
      <c r="F321">
        <v>6505.17</v>
      </c>
      <c r="G321">
        <v>12.94</v>
      </c>
      <c r="H321">
        <v>63.52</v>
      </c>
      <c r="I321">
        <v>0</v>
      </c>
    </row>
    <row r="322" spans="1:9">
      <c r="A322" t="s">
        <v>1310</v>
      </c>
      <c r="B322">
        <v>1720.144</v>
      </c>
      <c r="C322">
        <v>36.9848</v>
      </c>
      <c r="D322">
        <v>39.5959</v>
      </c>
      <c r="E322">
        <v>39.926299999999998</v>
      </c>
      <c r="F322">
        <v>5716.27</v>
      </c>
      <c r="G322">
        <v>10.35</v>
      </c>
      <c r="H322">
        <v>61.46</v>
      </c>
      <c r="I322">
        <v>0</v>
      </c>
    </row>
    <row r="323" spans="1:9">
      <c r="A323" t="s">
        <v>1311</v>
      </c>
      <c r="B323">
        <v>864.68719999999996</v>
      </c>
      <c r="C323">
        <v>33.964799999999997</v>
      </c>
      <c r="D323">
        <v>37.417700000000004</v>
      </c>
      <c r="E323">
        <v>37.662399999999998</v>
      </c>
      <c r="F323">
        <v>4323.67</v>
      </c>
      <c r="G323">
        <v>8.4499999999999993</v>
      </c>
      <c r="H323">
        <v>62.03</v>
      </c>
      <c r="I323">
        <v>0</v>
      </c>
    </row>
    <row r="324" spans="1:9">
      <c r="A324" t="s">
        <v>1312</v>
      </c>
      <c r="B324">
        <v>455.85840000000002</v>
      </c>
      <c r="C324">
        <v>31.194700000000001</v>
      </c>
      <c r="D324">
        <v>35.546799999999998</v>
      </c>
      <c r="E324">
        <v>35.699399999999997</v>
      </c>
      <c r="F324">
        <v>3931.71</v>
      </c>
      <c r="G324">
        <v>7.41</v>
      </c>
      <c r="H324">
        <v>61.8</v>
      </c>
      <c r="I324">
        <v>0</v>
      </c>
    </row>
    <row r="325" spans="1:9">
      <c r="A325" t="s">
        <v>1313</v>
      </c>
      <c r="B325">
        <v>5192.0006000000003</v>
      </c>
      <c r="C325">
        <v>43.086100000000002</v>
      </c>
      <c r="D325">
        <v>45.807000000000002</v>
      </c>
      <c r="E325">
        <v>45.998800000000003</v>
      </c>
      <c r="F325">
        <v>13526.24</v>
      </c>
      <c r="G325">
        <v>26.71</v>
      </c>
      <c r="H325">
        <v>108.38</v>
      </c>
      <c r="I325">
        <v>0</v>
      </c>
    </row>
    <row r="326" spans="1:9">
      <c r="A326" t="s">
        <v>1314</v>
      </c>
      <c r="B326">
        <v>2462.6659</v>
      </c>
      <c r="C326">
        <v>38.9283</v>
      </c>
      <c r="D326">
        <v>42.689300000000003</v>
      </c>
      <c r="E326">
        <v>42.744300000000003</v>
      </c>
      <c r="F326">
        <v>11371.42</v>
      </c>
      <c r="G326">
        <v>20.32</v>
      </c>
      <c r="H326">
        <v>105.23</v>
      </c>
      <c r="I326">
        <v>0</v>
      </c>
    </row>
    <row r="327" spans="1:9">
      <c r="A327" t="s">
        <v>1315</v>
      </c>
      <c r="B327">
        <v>1240.5998</v>
      </c>
      <c r="C327">
        <v>35.293199999999999</v>
      </c>
      <c r="D327">
        <v>40.442700000000002</v>
      </c>
      <c r="E327">
        <v>40.358400000000003</v>
      </c>
      <c r="F327">
        <v>9418.2900000000009</v>
      </c>
      <c r="G327">
        <v>17.03</v>
      </c>
      <c r="H327">
        <v>106.32</v>
      </c>
      <c r="I327">
        <v>0</v>
      </c>
    </row>
    <row r="328" spans="1:9">
      <c r="A328" t="s">
        <v>1316</v>
      </c>
      <c r="B328">
        <v>615.65139999999997</v>
      </c>
      <c r="C328">
        <v>32.018799999999999</v>
      </c>
      <c r="D328">
        <v>38.666899999999998</v>
      </c>
      <c r="E328">
        <v>38.337000000000003</v>
      </c>
      <c r="F328">
        <v>8127.22</v>
      </c>
      <c r="G328">
        <v>16.760000000000002</v>
      </c>
      <c r="H328">
        <v>104.71</v>
      </c>
      <c r="I328">
        <v>0</v>
      </c>
    </row>
    <row r="329" spans="1:9">
      <c r="A329" t="s">
        <v>1317</v>
      </c>
      <c r="B329">
        <v>323.39679999999998</v>
      </c>
      <c r="C329">
        <v>47.09</v>
      </c>
      <c r="D329">
        <v>45.616199999999999</v>
      </c>
      <c r="E329">
        <v>45.5319</v>
      </c>
      <c r="F329">
        <v>3948.01</v>
      </c>
      <c r="G329">
        <v>7.43</v>
      </c>
      <c r="H329">
        <v>120.2</v>
      </c>
      <c r="I329">
        <v>0</v>
      </c>
    </row>
    <row r="330" spans="1:9">
      <c r="A330" t="s">
        <v>1318</v>
      </c>
      <c r="B330">
        <v>237.2688</v>
      </c>
      <c r="C330">
        <v>42.728900000000003</v>
      </c>
      <c r="D330">
        <v>41.368499999999997</v>
      </c>
      <c r="E330">
        <v>41.310299999999998</v>
      </c>
      <c r="F330">
        <v>3511.84</v>
      </c>
      <c r="G330">
        <v>7.58</v>
      </c>
      <c r="H330">
        <v>122.2</v>
      </c>
      <c r="I330">
        <v>0</v>
      </c>
    </row>
    <row r="331" spans="1:9">
      <c r="A331" t="s">
        <v>1319</v>
      </c>
      <c r="B331">
        <v>175.72479999999999</v>
      </c>
      <c r="C331">
        <v>38.050899999999999</v>
      </c>
      <c r="D331">
        <v>38.9086</v>
      </c>
      <c r="E331">
        <v>38.890300000000003</v>
      </c>
      <c r="F331">
        <v>3866.91</v>
      </c>
      <c r="G331">
        <v>8.2899999999999991</v>
      </c>
      <c r="H331">
        <v>120.79</v>
      </c>
      <c r="I331">
        <v>0</v>
      </c>
    </row>
    <row r="332" spans="1:9">
      <c r="A332" t="s">
        <v>1320</v>
      </c>
      <c r="B332">
        <v>128.11840000000001</v>
      </c>
      <c r="C332">
        <v>33.1008</v>
      </c>
      <c r="D332">
        <v>37.600999999999999</v>
      </c>
      <c r="E332">
        <v>37.1096</v>
      </c>
      <c r="F332">
        <v>3854.66</v>
      </c>
      <c r="G332">
        <v>7.2</v>
      </c>
      <c r="H332">
        <v>119.16</v>
      </c>
      <c r="I332">
        <v>0</v>
      </c>
    </row>
    <row r="333" spans="1:9">
      <c r="A333" t="s">
        <v>1321</v>
      </c>
      <c r="B333">
        <v>659.54589999999996</v>
      </c>
      <c r="C333">
        <v>48.853900000000003</v>
      </c>
      <c r="D333">
        <v>51.665500000000002</v>
      </c>
      <c r="E333">
        <v>52.680199999999999</v>
      </c>
      <c r="F333">
        <v>8068.48</v>
      </c>
      <c r="G333">
        <v>14.07</v>
      </c>
      <c r="H333">
        <v>126.21</v>
      </c>
      <c r="I333">
        <v>0</v>
      </c>
    </row>
    <row r="334" spans="1:9">
      <c r="A334" t="s">
        <v>1322</v>
      </c>
      <c r="B334">
        <v>381.37380000000002</v>
      </c>
      <c r="C334">
        <v>44.920200000000001</v>
      </c>
      <c r="D334">
        <v>48.0989</v>
      </c>
      <c r="E334">
        <v>49.411200000000001</v>
      </c>
      <c r="F334">
        <v>7775.57</v>
      </c>
      <c r="G334">
        <v>13.85</v>
      </c>
      <c r="H334">
        <v>120.04</v>
      </c>
      <c r="I334">
        <v>0</v>
      </c>
    </row>
    <row r="335" spans="1:9">
      <c r="A335" t="s">
        <v>1323</v>
      </c>
      <c r="B335">
        <v>233.6806</v>
      </c>
      <c r="C335">
        <v>41.058599999999998</v>
      </c>
      <c r="D335">
        <v>45.4923</v>
      </c>
      <c r="E335">
        <v>46.915300000000002</v>
      </c>
      <c r="F335">
        <v>7545.48</v>
      </c>
      <c r="G335">
        <v>12.93</v>
      </c>
      <c r="H335">
        <v>121.32</v>
      </c>
      <c r="I335">
        <v>0</v>
      </c>
    </row>
    <row r="336" spans="1:9">
      <c r="A336" t="s">
        <v>1324</v>
      </c>
      <c r="B336">
        <v>147.80609999999999</v>
      </c>
      <c r="C336">
        <v>37.103700000000003</v>
      </c>
      <c r="D336">
        <v>43.511600000000001</v>
      </c>
      <c r="E336">
        <v>45.035400000000003</v>
      </c>
      <c r="F336">
        <v>7227.18</v>
      </c>
      <c r="G336">
        <v>12.4</v>
      </c>
      <c r="H336">
        <v>125.92</v>
      </c>
      <c r="I336">
        <v>0</v>
      </c>
    </row>
    <row r="337" spans="1:9">
      <c r="A337" t="s">
        <v>1325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1326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1327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1328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1329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1330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1331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1332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1333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1334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1335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1336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1337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1338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1339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1340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1341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1342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1343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1344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1345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1346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1347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1348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1349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1350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1351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1352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1353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1354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1355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1356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1357</v>
      </c>
      <c r="B369">
        <v>5184.0360000000001</v>
      </c>
      <c r="C369">
        <v>41.695300000000003</v>
      </c>
      <c r="D369">
        <v>43.327399999999997</v>
      </c>
      <c r="E369">
        <v>44.927599999999998</v>
      </c>
      <c r="F369">
        <v>9687.5400000000009</v>
      </c>
      <c r="G369">
        <v>24.21</v>
      </c>
      <c r="H369">
        <v>238.03</v>
      </c>
      <c r="I369">
        <v>0</v>
      </c>
    </row>
    <row r="370" spans="1:9">
      <c r="A370" t="s">
        <v>1358</v>
      </c>
      <c r="B370">
        <v>2304.1543999999999</v>
      </c>
      <c r="C370">
        <v>39.5242</v>
      </c>
      <c r="D370">
        <v>41.626399999999997</v>
      </c>
      <c r="E370">
        <v>42.875</v>
      </c>
      <c r="F370">
        <v>7748.1</v>
      </c>
      <c r="G370">
        <v>17.95</v>
      </c>
      <c r="H370">
        <v>245.54</v>
      </c>
      <c r="I370">
        <v>0</v>
      </c>
    </row>
    <row r="371" spans="1:9">
      <c r="A371" t="s">
        <v>1359</v>
      </c>
      <c r="B371">
        <v>1148.3263999999999</v>
      </c>
      <c r="C371">
        <v>37.019399999999997</v>
      </c>
      <c r="D371">
        <v>40.401499999999999</v>
      </c>
      <c r="E371">
        <v>41.621600000000001</v>
      </c>
      <c r="F371">
        <v>6548.7</v>
      </c>
      <c r="G371">
        <v>16.21</v>
      </c>
      <c r="H371">
        <v>242.75</v>
      </c>
      <c r="I371">
        <v>0</v>
      </c>
    </row>
    <row r="372" spans="1:9">
      <c r="A372" t="s">
        <v>1360</v>
      </c>
      <c r="B372">
        <v>581.57439999999997</v>
      </c>
      <c r="C372">
        <v>34.473100000000002</v>
      </c>
      <c r="D372">
        <v>39.510300000000001</v>
      </c>
      <c r="E372">
        <v>40.822499999999998</v>
      </c>
      <c r="F372">
        <v>5634.62</v>
      </c>
      <c r="G372">
        <v>13.46</v>
      </c>
      <c r="H372">
        <v>245.65</v>
      </c>
      <c r="I372">
        <v>0</v>
      </c>
    </row>
    <row r="373" spans="1:9">
      <c r="A373" t="s">
        <v>1361</v>
      </c>
      <c r="B373">
        <v>8250.8295999999991</v>
      </c>
      <c r="C373">
        <v>39.911700000000003</v>
      </c>
      <c r="D373">
        <v>41.997500000000002</v>
      </c>
      <c r="E373">
        <v>43.225900000000003</v>
      </c>
      <c r="F373">
        <v>9887.52</v>
      </c>
      <c r="G373">
        <v>25.34</v>
      </c>
      <c r="H373">
        <v>245.3</v>
      </c>
      <c r="I373">
        <v>0</v>
      </c>
    </row>
    <row r="374" spans="1:9">
      <c r="A374" t="s">
        <v>1362</v>
      </c>
      <c r="B374">
        <v>3153.0527999999999</v>
      </c>
      <c r="C374">
        <v>36.965200000000003</v>
      </c>
      <c r="D374">
        <v>39.845500000000001</v>
      </c>
      <c r="E374">
        <v>40.892299999999999</v>
      </c>
      <c r="F374">
        <v>6947.62</v>
      </c>
      <c r="G374">
        <v>18</v>
      </c>
      <c r="H374">
        <v>242.88</v>
      </c>
      <c r="I374">
        <v>0</v>
      </c>
    </row>
    <row r="375" spans="1:9">
      <c r="A375" t="s">
        <v>1363</v>
      </c>
      <c r="B375">
        <v>1355.1304</v>
      </c>
      <c r="C375">
        <v>34.218299999999999</v>
      </c>
      <c r="D375">
        <v>38.203000000000003</v>
      </c>
      <c r="E375">
        <v>39.4848</v>
      </c>
      <c r="F375">
        <v>5735.07</v>
      </c>
      <c r="G375">
        <v>14.51</v>
      </c>
      <c r="H375">
        <v>244.87</v>
      </c>
      <c r="I375">
        <v>0</v>
      </c>
    </row>
    <row r="376" spans="1:9">
      <c r="A376" t="s">
        <v>1364</v>
      </c>
      <c r="B376">
        <v>594.30799999999999</v>
      </c>
      <c r="C376">
        <v>31.6508</v>
      </c>
      <c r="D376">
        <v>37.051900000000003</v>
      </c>
      <c r="E376">
        <v>38.644399999999997</v>
      </c>
      <c r="F376">
        <v>5184.29</v>
      </c>
      <c r="G376">
        <v>13.57</v>
      </c>
      <c r="H376">
        <v>243.22</v>
      </c>
      <c r="I376">
        <v>0</v>
      </c>
    </row>
    <row r="377" spans="1:9">
      <c r="A377" t="s">
        <v>1365</v>
      </c>
      <c r="B377">
        <v>22923.767199999998</v>
      </c>
      <c r="C377">
        <v>38.625799999999998</v>
      </c>
      <c r="D377">
        <v>40.0747</v>
      </c>
      <c r="E377">
        <v>43.448999999999998</v>
      </c>
      <c r="F377">
        <v>22330.28</v>
      </c>
      <c r="G377">
        <v>55.6</v>
      </c>
      <c r="H377">
        <v>243.79</v>
      </c>
      <c r="I377">
        <v>0</v>
      </c>
    </row>
    <row r="378" spans="1:9">
      <c r="A378" t="s">
        <v>1366</v>
      </c>
      <c r="B378">
        <v>5719.9888000000001</v>
      </c>
      <c r="C378">
        <v>36.629899999999999</v>
      </c>
      <c r="D378">
        <v>38.8992</v>
      </c>
      <c r="E378">
        <v>41.445999999999998</v>
      </c>
      <c r="F378">
        <v>14793.87</v>
      </c>
      <c r="G378">
        <v>36.57</v>
      </c>
      <c r="H378">
        <v>248.9</v>
      </c>
      <c r="I378">
        <v>0</v>
      </c>
    </row>
    <row r="379" spans="1:9">
      <c r="A379" t="s">
        <v>1367</v>
      </c>
      <c r="B379">
        <v>2602.4448000000002</v>
      </c>
      <c r="C379">
        <v>34.550400000000003</v>
      </c>
      <c r="D379">
        <v>37.988599999999998</v>
      </c>
      <c r="E379">
        <v>39.870600000000003</v>
      </c>
      <c r="F379">
        <v>12294.8</v>
      </c>
      <c r="G379">
        <v>30.3</v>
      </c>
      <c r="H379">
        <v>246.96</v>
      </c>
      <c r="I379">
        <v>0</v>
      </c>
    </row>
    <row r="380" spans="1:9">
      <c r="A380" t="s">
        <v>1368</v>
      </c>
      <c r="B380">
        <v>1301.0208</v>
      </c>
      <c r="C380">
        <v>32.273600000000002</v>
      </c>
      <c r="D380">
        <v>37.137500000000003</v>
      </c>
      <c r="E380">
        <v>38.514899999999997</v>
      </c>
      <c r="F380">
        <v>11106.71</v>
      </c>
      <c r="G380">
        <v>27.8</v>
      </c>
      <c r="H380">
        <v>248.11</v>
      </c>
      <c r="I380">
        <v>0</v>
      </c>
    </row>
    <row r="381" spans="1:9">
      <c r="A381" t="s">
        <v>1369</v>
      </c>
      <c r="B381">
        <v>20816.563999999998</v>
      </c>
      <c r="C381">
        <v>39.389200000000002</v>
      </c>
      <c r="D381">
        <v>43.701500000000003</v>
      </c>
      <c r="E381">
        <v>44.920499999999997</v>
      </c>
      <c r="F381">
        <v>23686.75</v>
      </c>
      <c r="G381">
        <v>57.13</v>
      </c>
      <c r="H381">
        <v>238.41</v>
      </c>
      <c r="I381">
        <v>0</v>
      </c>
    </row>
    <row r="382" spans="1:9">
      <c r="A382" t="s">
        <v>1370</v>
      </c>
      <c r="B382">
        <v>6720.9656000000004</v>
      </c>
      <c r="C382">
        <v>37.366900000000001</v>
      </c>
      <c r="D382">
        <v>42.172699999999999</v>
      </c>
      <c r="E382">
        <v>42.6004</v>
      </c>
      <c r="F382">
        <v>17214.75</v>
      </c>
      <c r="G382">
        <v>42.2</v>
      </c>
      <c r="H382">
        <v>243.23</v>
      </c>
      <c r="I382">
        <v>0</v>
      </c>
    </row>
    <row r="383" spans="1:9">
      <c r="A383" t="s">
        <v>1371</v>
      </c>
      <c r="B383">
        <v>3193.4407999999999</v>
      </c>
      <c r="C383">
        <v>35.388100000000001</v>
      </c>
      <c r="D383">
        <v>40.956299999999999</v>
      </c>
      <c r="E383">
        <v>40.916200000000003</v>
      </c>
      <c r="F383">
        <v>14330.32</v>
      </c>
      <c r="G383">
        <v>34.64</v>
      </c>
      <c r="H383">
        <v>239.74</v>
      </c>
      <c r="I383">
        <v>0</v>
      </c>
    </row>
    <row r="384" spans="1:9">
      <c r="A384" t="s">
        <v>1372</v>
      </c>
      <c r="B384">
        <v>1654.1512</v>
      </c>
      <c r="C384">
        <v>33.276800000000001</v>
      </c>
      <c r="D384">
        <v>39.908999999999999</v>
      </c>
      <c r="E384">
        <v>39.516100000000002</v>
      </c>
      <c r="F384">
        <v>12631.77</v>
      </c>
      <c r="G384">
        <v>34.659999999999997</v>
      </c>
      <c r="H384">
        <v>243.16</v>
      </c>
      <c r="I384">
        <v>0</v>
      </c>
    </row>
    <row r="385" spans="1:9">
      <c r="A385" t="s">
        <v>1373</v>
      </c>
      <c r="B385">
        <v>63384.1152</v>
      </c>
      <c r="C385">
        <v>38.2468</v>
      </c>
      <c r="D385">
        <v>41.941600000000001</v>
      </c>
      <c r="E385">
        <v>44.174599999999998</v>
      </c>
      <c r="F385">
        <v>35012.99</v>
      </c>
      <c r="G385">
        <v>95</v>
      </c>
      <c r="H385">
        <v>240.19</v>
      </c>
      <c r="I385">
        <v>0</v>
      </c>
    </row>
    <row r="386" spans="1:9">
      <c r="A386" t="s">
        <v>1374</v>
      </c>
      <c r="B386">
        <v>9577.9351999999999</v>
      </c>
      <c r="C386">
        <v>35.106099999999998</v>
      </c>
      <c r="D386">
        <v>40.491199999999999</v>
      </c>
      <c r="E386">
        <v>42.933500000000002</v>
      </c>
      <c r="F386">
        <v>17702.48</v>
      </c>
      <c r="G386">
        <v>59</v>
      </c>
      <c r="H386">
        <v>240.64</v>
      </c>
      <c r="I386">
        <v>0</v>
      </c>
    </row>
    <row r="387" spans="1:9">
      <c r="A387" t="s">
        <v>1375</v>
      </c>
      <c r="B387">
        <v>2347.0720000000001</v>
      </c>
      <c r="C387">
        <v>33.408900000000003</v>
      </c>
      <c r="D387">
        <v>39.210799999999999</v>
      </c>
      <c r="E387">
        <v>41.860300000000002</v>
      </c>
      <c r="F387">
        <v>13224.68</v>
      </c>
      <c r="G387">
        <v>42.29</v>
      </c>
      <c r="H387">
        <v>243.01</v>
      </c>
      <c r="I387">
        <v>0</v>
      </c>
    </row>
    <row r="388" spans="1:9">
      <c r="A388" t="s">
        <v>1376</v>
      </c>
      <c r="B388">
        <v>845.84559999999999</v>
      </c>
      <c r="C388">
        <v>31.238800000000001</v>
      </c>
      <c r="D388">
        <v>38.242800000000003</v>
      </c>
      <c r="E388">
        <v>40.927399999999999</v>
      </c>
      <c r="F388">
        <v>11651.95</v>
      </c>
      <c r="G388">
        <v>36.43</v>
      </c>
      <c r="H388">
        <v>245.58</v>
      </c>
      <c r="I388">
        <v>0</v>
      </c>
    </row>
    <row r="389" spans="1:9">
      <c r="A389" t="s">
        <v>1377</v>
      </c>
      <c r="B389">
        <v>3774.9</v>
      </c>
      <c r="C389">
        <v>40.245399999999997</v>
      </c>
      <c r="D389">
        <v>42.765799999999999</v>
      </c>
      <c r="E389">
        <v>43.318300000000001</v>
      </c>
      <c r="F389">
        <v>5634.59</v>
      </c>
      <c r="G389">
        <v>12.45</v>
      </c>
      <c r="H389">
        <v>63.3</v>
      </c>
      <c r="I389">
        <v>0</v>
      </c>
    </row>
    <row r="390" spans="1:9">
      <c r="A390" t="s">
        <v>1378</v>
      </c>
      <c r="B390">
        <v>1694.6623999999999</v>
      </c>
      <c r="C390">
        <v>36.914700000000003</v>
      </c>
      <c r="D390">
        <v>40.045200000000001</v>
      </c>
      <c r="E390">
        <v>40.283799999999999</v>
      </c>
      <c r="F390">
        <v>4339.67</v>
      </c>
      <c r="G390">
        <v>10.15</v>
      </c>
      <c r="H390">
        <v>62.46</v>
      </c>
      <c r="I390">
        <v>0</v>
      </c>
    </row>
    <row r="391" spans="1:9">
      <c r="A391" t="s">
        <v>1379</v>
      </c>
      <c r="B391">
        <v>833.19119999999998</v>
      </c>
      <c r="C391">
        <v>34.023000000000003</v>
      </c>
      <c r="D391">
        <v>38.061700000000002</v>
      </c>
      <c r="E391">
        <v>38.211100000000002</v>
      </c>
      <c r="F391">
        <v>3599.78</v>
      </c>
      <c r="G391">
        <v>8.27</v>
      </c>
      <c r="H391">
        <v>61.24</v>
      </c>
      <c r="I391">
        <v>0</v>
      </c>
    </row>
    <row r="392" spans="1:9">
      <c r="A392" t="s">
        <v>1380</v>
      </c>
      <c r="B392">
        <v>433.69439999999997</v>
      </c>
      <c r="C392">
        <v>31.5182</v>
      </c>
      <c r="D392">
        <v>36.526200000000003</v>
      </c>
      <c r="E392">
        <v>36.416499999999999</v>
      </c>
      <c r="F392">
        <v>3059.67</v>
      </c>
      <c r="G392">
        <v>7.09</v>
      </c>
      <c r="H392">
        <v>62.7</v>
      </c>
      <c r="I392">
        <v>0</v>
      </c>
    </row>
    <row r="393" spans="1:9">
      <c r="A393" t="s">
        <v>1381</v>
      </c>
      <c r="B393">
        <v>4464.4952000000003</v>
      </c>
      <c r="C393">
        <v>40.109299999999998</v>
      </c>
      <c r="D393">
        <v>43.161099999999998</v>
      </c>
      <c r="E393">
        <v>44.577100000000002</v>
      </c>
      <c r="F393">
        <v>6451.28</v>
      </c>
      <c r="G393">
        <v>16.37</v>
      </c>
      <c r="H393">
        <v>62.92</v>
      </c>
      <c r="I393">
        <v>0</v>
      </c>
    </row>
    <row r="394" spans="1:9">
      <c r="A394" t="s">
        <v>1382</v>
      </c>
      <c r="B394">
        <v>1894.2528</v>
      </c>
      <c r="C394">
        <v>37.126600000000003</v>
      </c>
      <c r="D394">
        <v>40.968899999999998</v>
      </c>
      <c r="E394">
        <v>42.0259</v>
      </c>
      <c r="F394">
        <v>4688.18</v>
      </c>
      <c r="G394">
        <v>11.86</v>
      </c>
      <c r="H394">
        <v>62.54</v>
      </c>
      <c r="I394">
        <v>0</v>
      </c>
    </row>
    <row r="395" spans="1:9">
      <c r="A395" t="s">
        <v>1383</v>
      </c>
      <c r="B395">
        <v>922.66480000000001</v>
      </c>
      <c r="C395">
        <v>34.192300000000003</v>
      </c>
      <c r="D395">
        <v>39.231099999999998</v>
      </c>
      <c r="E395">
        <v>40.123699999999999</v>
      </c>
      <c r="F395">
        <v>3955.17</v>
      </c>
      <c r="G395">
        <v>9.92</v>
      </c>
      <c r="H395">
        <v>61.77</v>
      </c>
      <c r="I395">
        <v>0</v>
      </c>
    </row>
    <row r="396" spans="1:9">
      <c r="A396" t="s">
        <v>1384</v>
      </c>
      <c r="B396">
        <v>468.75360000000001</v>
      </c>
      <c r="C396">
        <v>31.313099999999999</v>
      </c>
      <c r="D396">
        <v>37.904699999999998</v>
      </c>
      <c r="E396">
        <v>38.704500000000003</v>
      </c>
      <c r="F396">
        <v>3425.86</v>
      </c>
      <c r="G396">
        <v>9.01</v>
      </c>
      <c r="H396">
        <v>62.29</v>
      </c>
      <c r="I396">
        <v>0</v>
      </c>
    </row>
    <row r="397" spans="1:9">
      <c r="A397" t="s">
        <v>1385</v>
      </c>
      <c r="B397">
        <v>9047.1911999999993</v>
      </c>
      <c r="C397">
        <v>38.275500000000001</v>
      </c>
      <c r="D397">
        <v>41.105600000000003</v>
      </c>
      <c r="E397">
        <v>42.047499999999999</v>
      </c>
      <c r="F397">
        <v>7224.76</v>
      </c>
      <c r="G397">
        <v>18.940000000000001</v>
      </c>
      <c r="H397">
        <v>62.72</v>
      </c>
      <c r="I397">
        <v>0</v>
      </c>
    </row>
    <row r="398" spans="1:9">
      <c r="A398" t="s">
        <v>1386</v>
      </c>
      <c r="B398">
        <v>3507.6424000000002</v>
      </c>
      <c r="C398">
        <v>34.3202</v>
      </c>
      <c r="D398">
        <v>38.317700000000002</v>
      </c>
      <c r="E398">
        <v>39.153300000000002</v>
      </c>
      <c r="F398">
        <v>4930.97</v>
      </c>
      <c r="G398">
        <v>12.7</v>
      </c>
      <c r="H398">
        <v>61.85</v>
      </c>
      <c r="I398">
        <v>0</v>
      </c>
    </row>
    <row r="399" spans="1:9">
      <c r="A399" t="s">
        <v>1387</v>
      </c>
      <c r="B399">
        <v>1535.5056</v>
      </c>
      <c r="C399">
        <v>30.999600000000001</v>
      </c>
      <c r="D399">
        <v>36.396500000000003</v>
      </c>
      <c r="E399">
        <v>37.180900000000001</v>
      </c>
      <c r="F399">
        <v>3788.8</v>
      </c>
      <c r="G399">
        <v>10.07</v>
      </c>
      <c r="H399">
        <v>61.04</v>
      </c>
      <c r="I399">
        <v>0</v>
      </c>
    </row>
    <row r="400" spans="1:9">
      <c r="A400" t="s">
        <v>1388</v>
      </c>
      <c r="B400">
        <v>660.31119999999999</v>
      </c>
      <c r="C400">
        <v>27.821200000000001</v>
      </c>
      <c r="D400">
        <v>34.9435</v>
      </c>
      <c r="E400">
        <v>35.7303</v>
      </c>
      <c r="F400">
        <v>3134.33</v>
      </c>
      <c r="G400">
        <v>7.99</v>
      </c>
      <c r="H400">
        <v>62.18</v>
      </c>
      <c r="I400">
        <v>0</v>
      </c>
    </row>
    <row r="401" spans="1:9">
      <c r="A401" t="s">
        <v>1389</v>
      </c>
      <c r="B401">
        <v>5812.7327999999998</v>
      </c>
      <c r="C401">
        <v>39.761400000000002</v>
      </c>
      <c r="D401">
        <v>41.334099999999999</v>
      </c>
      <c r="E401">
        <v>42.7667</v>
      </c>
      <c r="F401">
        <v>4421.0200000000004</v>
      </c>
      <c r="G401">
        <v>10.28</v>
      </c>
      <c r="H401">
        <v>62.21</v>
      </c>
      <c r="I401">
        <v>0</v>
      </c>
    </row>
    <row r="402" spans="1:9">
      <c r="A402" t="s">
        <v>1390</v>
      </c>
      <c r="B402">
        <v>2232.3144000000002</v>
      </c>
      <c r="C402">
        <v>35.940399999999997</v>
      </c>
      <c r="D402">
        <v>38.691600000000001</v>
      </c>
      <c r="E402">
        <v>40.3401</v>
      </c>
      <c r="F402">
        <v>3422.07</v>
      </c>
      <c r="G402">
        <v>8</v>
      </c>
      <c r="H402">
        <v>61.72</v>
      </c>
      <c r="I402">
        <v>0</v>
      </c>
    </row>
    <row r="403" spans="1:9">
      <c r="A403" t="s">
        <v>1391</v>
      </c>
      <c r="B403">
        <v>1006.9376</v>
      </c>
      <c r="C403">
        <v>32.896500000000003</v>
      </c>
      <c r="D403">
        <v>36.971800000000002</v>
      </c>
      <c r="E403">
        <v>38.683199999999999</v>
      </c>
      <c r="F403">
        <v>2747.39</v>
      </c>
      <c r="G403">
        <v>6.27</v>
      </c>
      <c r="H403">
        <v>61.16</v>
      </c>
      <c r="I403">
        <v>0</v>
      </c>
    </row>
    <row r="404" spans="1:9">
      <c r="A404" t="s">
        <v>1392</v>
      </c>
      <c r="B404">
        <v>466.77280000000002</v>
      </c>
      <c r="C404">
        <v>30.120999999999999</v>
      </c>
      <c r="D404">
        <v>35.668900000000001</v>
      </c>
      <c r="E404">
        <v>37.385399999999997</v>
      </c>
      <c r="F404">
        <v>2273.5700000000002</v>
      </c>
      <c r="G404">
        <v>5.48</v>
      </c>
      <c r="H404">
        <v>62.21</v>
      </c>
      <c r="I404">
        <v>0</v>
      </c>
    </row>
    <row r="405" spans="1:9">
      <c r="A405" t="s">
        <v>1393</v>
      </c>
      <c r="B405">
        <v>1706.7295999999999</v>
      </c>
      <c r="C405">
        <v>40.840299999999999</v>
      </c>
      <c r="D405">
        <v>43.5745</v>
      </c>
      <c r="E405">
        <v>42.962499999999999</v>
      </c>
      <c r="F405">
        <v>1430.56</v>
      </c>
      <c r="G405">
        <v>3.59</v>
      </c>
      <c r="H405">
        <v>25.54</v>
      </c>
      <c r="I405">
        <v>0</v>
      </c>
    </row>
    <row r="406" spans="1:9">
      <c r="A406" t="s">
        <v>1394</v>
      </c>
      <c r="B406">
        <v>824.53679999999997</v>
      </c>
      <c r="C406">
        <v>36.803100000000001</v>
      </c>
      <c r="D406">
        <v>40.702199999999998</v>
      </c>
      <c r="E406">
        <v>39.669899999999998</v>
      </c>
      <c r="F406">
        <v>1148.26</v>
      </c>
      <c r="G406">
        <v>2.94</v>
      </c>
      <c r="H406">
        <v>25.54</v>
      </c>
      <c r="I406">
        <v>0</v>
      </c>
    </row>
    <row r="407" spans="1:9">
      <c r="A407" t="s">
        <v>1395</v>
      </c>
      <c r="B407">
        <v>416.93040000000002</v>
      </c>
      <c r="C407">
        <v>33.390900000000002</v>
      </c>
      <c r="D407">
        <v>38.76</v>
      </c>
      <c r="E407">
        <v>37.5623</v>
      </c>
      <c r="F407">
        <v>963.72</v>
      </c>
      <c r="G407">
        <v>2.4500000000000002</v>
      </c>
      <c r="H407">
        <v>24.87</v>
      </c>
      <c r="I407">
        <v>0</v>
      </c>
    </row>
    <row r="408" spans="1:9">
      <c r="A408" t="s">
        <v>1396</v>
      </c>
      <c r="B408">
        <v>215.06</v>
      </c>
      <c r="C408">
        <v>30.5258</v>
      </c>
      <c r="D408">
        <v>37.3202</v>
      </c>
      <c r="E408">
        <v>35.949599999999997</v>
      </c>
      <c r="F408">
        <v>819.11</v>
      </c>
      <c r="G408">
        <v>2.2000000000000002</v>
      </c>
      <c r="H408">
        <v>25.93</v>
      </c>
      <c r="I408">
        <v>0</v>
      </c>
    </row>
    <row r="409" spans="1:9">
      <c r="A409" t="s">
        <v>1397</v>
      </c>
      <c r="B409">
        <v>2666.0151999999998</v>
      </c>
      <c r="C409">
        <v>38.321800000000003</v>
      </c>
      <c r="D409">
        <v>42.767800000000001</v>
      </c>
      <c r="E409">
        <v>43.837299999999999</v>
      </c>
      <c r="F409">
        <v>1886.58</v>
      </c>
      <c r="G409">
        <v>5.53</v>
      </c>
      <c r="H409">
        <v>26</v>
      </c>
      <c r="I409">
        <v>0</v>
      </c>
    </row>
    <row r="410" spans="1:9">
      <c r="A410" t="s">
        <v>1398</v>
      </c>
      <c r="B410">
        <v>877.83759999999995</v>
      </c>
      <c r="C410">
        <v>34.222200000000001</v>
      </c>
      <c r="D410">
        <v>40.710500000000003</v>
      </c>
      <c r="E410">
        <v>41.6419</v>
      </c>
      <c r="F410">
        <v>1280.6600000000001</v>
      </c>
      <c r="G410">
        <v>3.83</v>
      </c>
      <c r="H410">
        <v>26.01</v>
      </c>
      <c r="I410">
        <v>0</v>
      </c>
    </row>
    <row r="411" spans="1:9">
      <c r="A411" t="s">
        <v>1399</v>
      </c>
      <c r="B411">
        <v>334.64960000000002</v>
      </c>
      <c r="C411">
        <v>31.192699999999999</v>
      </c>
      <c r="D411">
        <v>39.334600000000002</v>
      </c>
      <c r="E411">
        <v>40.170499999999997</v>
      </c>
      <c r="F411">
        <v>937.07</v>
      </c>
      <c r="G411">
        <v>2.73</v>
      </c>
      <c r="H411">
        <v>25.51</v>
      </c>
      <c r="I411">
        <v>0</v>
      </c>
    </row>
    <row r="412" spans="1:9">
      <c r="A412" t="s">
        <v>1400</v>
      </c>
      <c r="B412">
        <v>130.60239999999999</v>
      </c>
      <c r="C412">
        <v>28.240300000000001</v>
      </c>
      <c r="D412">
        <v>38.257800000000003</v>
      </c>
      <c r="E412">
        <v>38.993899999999996</v>
      </c>
      <c r="F412">
        <v>765.32</v>
      </c>
      <c r="G412">
        <v>2.27</v>
      </c>
      <c r="H412">
        <v>24.84</v>
      </c>
      <c r="I412">
        <v>0</v>
      </c>
    </row>
    <row r="413" spans="1:9">
      <c r="A413" t="s">
        <v>1401</v>
      </c>
      <c r="B413">
        <v>2105.1320000000001</v>
      </c>
      <c r="C413">
        <v>38.048699999999997</v>
      </c>
      <c r="D413">
        <v>40.836599999999997</v>
      </c>
      <c r="E413">
        <v>41.613300000000002</v>
      </c>
      <c r="F413">
        <v>1615.67</v>
      </c>
      <c r="G413">
        <v>4.25</v>
      </c>
      <c r="H413">
        <v>25.54</v>
      </c>
      <c r="I413">
        <v>0</v>
      </c>
    </row>
    <row r="414" spans="1:9">
      <c r="A414" t="s">
        <v>1402</v>
      </c>
      <c r="B414">
        <v>825.87440000000004</v>
      </c>
      <c r="C414">
        <v>34.206200000000003</v>
      </c>
      <c r="D414">
        <v>38.027900000000002</v>
      </c>
      <c r="E414">
        <v>38.6509</v>
      </c>
      <c r="F414">
        <v>1071.8900000000001</v>
      </c>
      <c r="G414">
        <v>3.03</v>
      </c>
      <c r="H414">
        <v>25.32</v>
      </c>
      <c r="I414">
        <v>0</v>
      </c>
    </row>
    <row r="415" spans="1:9">
      <c r="A415" t="s">
        <v>1403</v>
      </c>
      <c r="B415">
        <v>355.66079999999999</v>
      </c>
      <c r="C415">
        <v>30.8384</v>
      </c>
      <c r="D415">
        <v>35.971400000000003</v>
      </c>
      <c r="E415">
        <v>36.575899999999997</v>
      </c>
      <c r="F415">
        <v>848.1</v>
      </c>
      <c r="G415">
        <v>2.65</v>
      </c>
      <c r="H415">
        <v>25.57</v>
      </c>
      <c r="I415">
        <v>0</v>
      </c>
    </row>
    <row r="416" spans="1:9">
      <c r="A416" t="s">
        <v>1404</v>
      </c>
      <c r="B416">
        <v>152.53919999999999</v>
      </c>
      <c r="C416">
        <v>27.819099999999999</v>
      </c>
      <c r="D416">
        <v>34.500599999999999</v>
      </c>
      <c r="E416">
        <v>35.129300000000001</v>
      </c>
      <c r="F416">
        <v>703.17</v>
      </c>
      <c r="G416">
        <v>2.17</v>
      </c>
      <c r="H416">
        <v>25.99</v>
      </c>
      <c r="I416">
        <v>0</v>
      </c>
    </row>
    <row r="417" spans="1:9">
      <c r="A417" t="s">
        <v>1405</v>
      </c>
      <c r="B417">
        <v>1333.8032000000001</v>
      </c>
      <c r="C417">
        <v>39.768700000000003</v>
      </c>
      <c r="D417">
        <v>41.201500000000003</v>
      </c>
      <c r="E417">
        <v>42.288600000000002</v>
      </c>
      <c r="F417">
        <v>1038.81</v>
      </c>
      <c r="G417">
        <v>2.67</v>
      </c>
      <c r="H417">
        <v>25.3</v>
      </c>
      <c r="I417">
        <v>0</v>
      </c>
    </row>
    <row r="418" spans="1:9">
      <c r="A418" t="s">
        <v>1406</v>
      </c>
      <c r="B418">
        <v>612.04</v>
      </c>
      <c r="C418">
        <v>35.634999999999998</v>
      </c>
      <c r="D418">
        <v>38.286799999999999</v>
      </c>
      <c r="E418">
        <v>39.497599999999998</v>
      </c>
      <c r="F418">
        <v>804.2</v>
      </c>
      <c r="G418">
        <v>2.12</v>
      </c>
      <c r="H418">
        <v>25.35</v>
      </c>
      <c r="I418">
        <v>0</v>
      </c>
    </row>
    <row r="419" spans="1:9">
      <c r="A419" t="s">
        <v>1407</v>
      </c>
      <c r="B419">
        <v>296.93439999999998</v>
      </c>
      <c r="C419">
        <v>32.165100000000002</v>
      </c>
      <c r="D419">
        <v>36.452399999999997</v>
      </c>
      <c r="E419">
        <v>37.583100000000002</v>
      </c>
      <c r="F419">
        <v>659.64</v>
      </c>
      <c r="G419">
        <v>1.77</v>
      </c>
      <c r="H419">
        <v>25.87</v>
      </c>
      <c r="I419">
        <v>0</v>
      </c>
    </row>
    <row r="420" spans="1:9">
      <c r="A420" t="s">
        <v>1408</v>
      </c>
      <c r="B420">
        <v>145.9024</v>
      </c>
      <c r="C420">
        <v>29.365600000000001</v>
      </c>
      <c r="D420">
        <v>34.986699999999999</v>
      </c>
      <c r="E420">
        <v>36.069699999999997</v>
      </c>
      <c r="F420">
        <v>547.84</v>
      </c>
      <c r="G420">
        <v>1.46</v>
      </c>
      <c r="H420">
        <v>25.37</v>
      </c>
      <c r="I420">
        <v>0</v>
      </c>
    </row>
    <row r="421" spans="1:9">
      <c r="A421" t="s">
        <v>1409</v>
      </c>
      <c r="B421">
        <v>2389.4888000000001</v>
      </c>
      <c r="C421">
        <v>42.581299999999999</v>
      </c>
      <c r="D421">
        <v>46.508400000000002</v>
      </c>
      <c r="E421">
        <v>47.840200000000003</v>
      </c>
      <c r="F421">
        <v>8523.32</v>
      </c>
      <c r="G421">
        <v>20.329999999999998</v>
      </c>
      <c r="H421">
        <v>120.79</v>
      </c>
      <c r="I421">
        <v>0</v>
      </c>
    </row>
    <row r="422" spans="1:9">
      <c r="A422" t="s">
        <v>1410</v>
      </c>
      <c r="B422">
        <v>864.37840000000006</v>
      </c>
      <c r="C422">
        <v>40.261099999999999</v>
      </c>
      <c r="D422">
        <v>44.442700000000002</v>
      </c>
      <c r="E422">
        <v>45.657400000000003</v>
      </c>
      <c r="F422">
        <v>6042.48</v>
      </c>
      <c r="G422">
        <v>13.55</v>
      </c>
      <c r="H422">
        <v>124.71</v>
      </c>
      <c r="I422">
        <v>0</v>
      </c>
    </row>
    <row r="423" spans="1:9">
      <c r="A423" t="s">
        <v>1411</v>
      </c>
      <c r="B423">
        <v>424.76400000000001</v>
      </c>
      <c r="C423">
        <v>37.628900000000002</v>
      </c>
      <c r="D423">
        <v>42.658099999999997</v>
      </c>
      <c r="E423">
        <v>43.802199999999999</v>
      </c>
      <c r="F423">
        <v>6388.52</v>
      </c>
      <c r="G423">
        <v>16.28</v>
      </c>
      <c r="H423">
        <v>122.07</v>
      </c>
      <c r="I423">
        <v>0</v>
      </c>
    </row>
    <row r="424" spans="1:9">
      <c r="A424" t="s">
        <v>1412</v>
      </c>
      <c r="B424">
        <v>224.36240000000001</v>
      </c>
      <c r="C424">
        <v>34.7273</v>
      </c>
      <c r="D424">
        <v>41.058199999999999</v>
      </c>
      <c r="E424">
        <v>42.185099999999998</v>
      </c>
      <c r="F424">
        <v>5978.07</v>
      </c>
      <c r="G424">
        <v>14.26</v>
      </c>
      <c r="H424">
        <v>121.46</v>
      </c>
      <c r="I424">
        <v>0</v>
      </c>
    </row>
    <row r="425" spans="1:9">
      <c r="A425" t="s">
        <v>1413</v>
      </c>
      <c r="B425">
        <v>1839.3992000000001</v>
      </c>
      <c r="C425">
        <v>42.954099999999997</v>
      </c>
      <c r="D425">
        <v>48.131799999999998</v>
      </c>
      <c r="E425">
        <v>48.907899999999998</v>
      </c>
      <c r="F425">
        <v>7996.28</v>
      </c>
      <c r="G425">
        <v>20.79</v>
      </c>
      <c r="H425">
        <v>126.25</v>
      </c>
      <c r="I425">
        <v>0</v>
      </c>
    </row>
    <row r="426" spans="1:9">
      <c r="A426" t="s">
        <v>1414</v>
      </c>
      <c r="B426">
        <v>441.76319999999998</v>
      </c>
      <c r="C426">
        <v>41.130699999999997</v>
      </c>
      <c r="D426">
        <v>46.411900000000003</v>
      </c>
      <c r="E426">
        <v>47.047800000000002</v>
      </c>
      <c r="F426">
        <v>6392.31</v>
      </c>
      <c r="G426">
        <v>15.49</v>
      </c>
      <c r="H426">
        <v>121.45</v>
      </c>
      <c r="I426">
        <v>0</v>
      </c>
    </row>
    <row r="427" spans="1:9">
      <c r="A427" t="s">
        <v>1415</v>
      </c>
      <c r="B427">
        <v>185.48400000000001</v>
      </c>
      <c r="C427">
        <v>38.959299999999999</v>
      </c>
      <c r="D427">
        <v>44.720399999999998</v>
      </c>
      <c r="E427">
        <v>45.402000000000001</v>
      </c>
      <c r="F427">
        <v>5900.9</v>
      </c>
      <c r="G427">
        <v>13.94</v>
      </c>
      <c r="H427">
        <v>122.2</v>
      </c>
      <c r="I427">
        <v>0</v>
      </c>
    </row>
    <row r="428" spans="1:9">
      <c r="A428" t="s">
        <v>1416</v>
      </c>
      <c r="B428">
        <v>97.192800000000005</v>
      </c>
      <c r="C428">
        <v>36.485300000000002</v>
      </c>
      <c r="D428">
        <v>42.960999999999999</v>
      </c>
      <c r="E428">
        <v>43.335700000000003</v>
      </c>
      <c r="F428">
        <v>5609.92</v>
      </c>
      <c r="G428">
        <v>14.87</v>
      </c>
      <c r="H428">
        <v>120.65</v>
      </c>
      <c r="I428">
        <v>0</v>
      </c>
    </row>
    <row r="429" spans="1:9">
      <c r="A429" t="s">
        <v>1417</v>
      </c>
      <c r="B429">
        <v>2117.4096</v>
      </c>
      <c r="C429">
        <v>43.313800000000001</v>
      </c>
      <c r="D429">
        <v>47.332099999999997</v>
      </c>
      <c r="E429">
        <v>48.313400000000001</v>
      </c>
      <c r="F429">
        <v>8572.02</v>
      </c>
      <c r="G429">
        <v>20.260000000000002</v>
      </c>
      <c r="H429">
        <v>119.81</v>
      </c>
      <c r="I429">
        <v>0</v>
      </c>
    </row>
    <row r="430" spans="1:9">
      <c r="A430" t="s">
        <v>1418</v>
      </c>
      <c r="B430">
        <v>703.548</v>
      </c>
      <c r="C430">
        <v>41.154200000000003</v>
      </c>
      <c r="D430">
        <v>45.350700000000003</v>
      </c>
      <c r="E430">
        <v>46.244300000000003</v>
      </c>
      <c r="F430">
        <v>7010.47</v>
      </c>
      <c r="G430">
        <v>19.899999999999999</v>
      </c>
      <c r="H430">
        <v>125.88</v>
      </c>
      <c r="I430">
        <v>0</v>
      </c>
    </row>
    <row r="431" spans="1:9">
      <c r="A431" t="s">
        <v>1419</v>
      </c>
      <c r="B431">
        <v>319.42720000000003</v>
      </c>
      <c r="C431">
        <v>38.722200000000001</v>
      </c>
      <c r="D431">
        <v>43.540300000000002</v>
      </c>
      <c r="E431">
        <v>44.554099999999998</v>
      </c>
      <c r="F431">
        <v>6496.23</v>
      </c>
      <c r="G431">
        <v>16.170000000000002</v>
      </c>
      <c r="H431">
        <v>120.21</v>
      </c>
      <c r="I431">
        <v>0</v>
      </c>
    </row>
    <row r="432" spans="1:9">
      <c r="A432" t="s">
        <v>1420</v>
      </c>
      <c r="B432">
        <v>164.09200000000001</v>
      </c>
      <c r="C432">
        <v>36.007800000000003</v>
      </c>
      <c r="D432">
        <v>41.856499999999997</v>
      </c>
      <c r="E432">
        <v>42.792900000000003</v>
      </c>
      <c r="F432">
        <v>6080.21</v>
      </c>
      <c r="G432">
        <v>15.24</v>
      </c>
      <c r="H432">
        <v>120.37</v>
      </c>
      <c r="I432">
        <v>0</v>
      </c>
    </row>
    <row r="433" spans="1:9">
      <c r="A433" t="s">
        <v>1421</v>
      </c>
      <c r="B433">
        <v>4121.1319999999996</v>
      </c>
      <c r="C433">
        <v>40.366500000000002</v>
      </c>
      <c r="D433">
        <v>42.588299999999997</v>
      </c>
      <c r="E433">
        <v>43.129100000000001</v>
      </c>
      <c r="F433">
        <v>5672.3</v>
      </c>
      <c r="G433">
        <v>12.51</v>
      </c>
      <c r="H433">
        <v>62.96</v>
      </c>
      <c r="I433">
        <v>0</v>
      </c>
    </row>
    <row r="434" spans="1:9">
      <c r="A434" t="s">
        <v>1422</v>
      </c>
      <c r="B434">
        <v>1854.5096000000001</v>
      </c>
      <c r="C434">
        <v>36.884</v>
      </c>
      <c r="D434">
        <v>39.610700000000001</v>
      </c>
      <c r="E434">
        <v>39.896999999999998</v>
      </c>
      <c r="F434">
        <v>4386.42</v>
      </c>
      <c r="G434">
        <v>9.92</v>
      </c>
      <c r="H434">
        <v>61.01</v>
      </c>
      <c r="I434">
        <v>0</v>
      </c>
    </row>
    <row r="435" spans="1:9">
      <c r="A435" t="s">
        <v>1423</v>
      </c>
      <c r="B435">
        <v>912.34479999999996</v>
      </c>
      <c r="C435">
        <v>33.886299999999999</v>
      </c>
      <c r="D435">
        <v>37.401299999999999</v>
      </c>
      <c r="E435">
        <v>37.582900000000002</v>
      </c>
      <c r="F435">
        <v>3593.22</v>
      </c>
      <c r="G435">
        <v>8.33</v>
      </c>
      <c r="H435">
        <v>62.6</v>
      </c>
      <c r="I435">
        <v>0</v>
      </c>
    </row>
    <row r="436" spans="1:9">
      <c r="A436" t="s">
        <v>1424</v>
      </c>
      <c r="B436">
        <v>477.572</v>
      </c>
      <c r="C436">
        <v>31.183700000000002</v>
      </c>
      <c r="D436">
        <v>35.515999999999998</v>
      </c>
      <c r="E436">
        <v>35.573099999999997</v>
      </c>
      <c r="F436">
        <v>3071.01</v>
      </c>
      <c r="G436">
        <v>7.18</v>
      </c>
      <c r="H436">
        <v>60.65</v>
      </c>
      <c r="I436">
        <v>0</v>
      </c>
    </row>
    <row r="437" spans="1:9">
      <c r="A437" t="s">
        <v>1425</v>
      </c>
      <c r="B437">
        <v>5297.6855999999998</v>
      </c>
      <c r="C437">
        <v>43.022500000000001</v>
      </c>
      <c r="D437">
        <v>45.692700000000002</v>
      </c>
      <c r="E437">
        <v>45.893300000000004</v>
      </c>
      <c r="F437">
        <v>11582.26</v>
      </c>
      <c r="G437">
        <v>23.84</v>
      </c>
      <c r="H437">
        <v>103.65</v>
      </c>
      <c r="I437">
        <v>0</v>
      </c>
    </row>
    <row r="438" spans="1:9">
      <c r="A438" t="s">
        <v>1426</v>
      </c>
      <c r="B438">
        <v>2504.665</v>
      </c>
      <c r="C438">
        <v>38.878999999999998</v>
      </c>
      <c r="D438">
        <v>42.575899999999997</v>
      </c>
      <c r="E438">
        <v>42.631900000000002</v>
      </c>
      <c r="F438">
        <v>9325.5</v>
      </c>
      <c r="G438">
        <v>20.76</v>
      </c>
      <c r="H438">
        <v>104.9</v>
      </c>
      <c r="I438">
        <v>0</v>
      </c>
    </row>
    <row r="439" spans="1:9">
      <c r="A439" t="s">
        <v>1427</v>
      </c>
      <c r="B439">
        <v>1265.7662</v>
      </c>
      <c r="C439">
        <v>35.245800000000003</v>
      </c>
      <c r="D439">
        <v>40.320799999999998</v>
      </c>
      <c r="E439">
        <v>40.236600000000003</v>
      </c>
      <c r="F439">
        <v>7562.39</v>
      </c>
      <c r="G439">
        <v>19.46</v>
      </c>
      <c r="H439">
        <v>103.68</v>
      </c>
      <c r="I439">
        <v>0</v>
      </c>
    </row>
    <row r="440" spans="1:9">
      <c r="A440" t="s">
        <v>1428</v>
      </c>
      <c r="B440">
        <v>632.58619999999996</v>
      </c>
      <c r="C440">
        <v>31.976299999999998</v>
      </c>
      <c r="D440">
        <v>38.551499999999997</v>
      </c>
      <c r="E440">
        <v>38.252299999999998</v>
      </c>
      <c r="F440">
        <v>6372.88</v>
      </c>
      <c r="G440">
        <v>15.11</v>
      </c>
      <c r="H440">
        <v>102.5</v>
      </c>
      <c r="I440">
        <v>0</v>
      </c>
    </row>
    <row r="441" spans="1:9">
      <c r="A441" t="s">
        <v>1429</v>
      </c>
      <c r="B441">
        <v>321.84320000000002</v>
      </c>
      <c r="C441">
        <v>47.057299999999998</v>
      </c>
      <c r="D441">
        <v>45.609000000000002</v>
      </c>
      <c r="E441">
        <v>45.5398</v>
      </c>
      <c r="F441">
        <v>2944.51</v>
      </c>
      <c r="G441">
        <v>6.9</v>
      </c>
      <c r="H441">
        <v>121.17</v>
      </c>
      <c r="I441">
        <v>0</v>
      </c>
    </row>
    <row r="442" spans="1:9">
      <c r="A442" t="s">
        <v>1430</v>
      </c>
      <c r="B442">
        <v>236.548</v>
      </c>
      <c r="C442">
        <v>42.695700000000002</v>
      </c>
      <c r="D442">
        <v>41.367899999999999</v>
      </c>
      <c r="E442">
        <v>41.304200000000002</v>
      </c>
      <c r="F442">
        <v>2877.85</v>
      </c>
      <c r="G442">
        <v>6.88</v>
      </c>
      <c r="H442">
        <v>119.76</v>
      </c>
      <c r="I442">
        <v>0</v>
      </c>
    </row>
    <row r="443" spans="1:9">
      <c r="A443" t="s">
        <v>1431</v>
      </c>
      <c r="B443">
        <v>176.404</v>
      </c>
      <c r="C443">
        <v>37.990400000000001</v>
      </c>
      <c r="D443">
        <v>38.904400000000003</v>
      </c>
      <c r="E443">
        <v>38.867899999999999</v>
      </c>
      <c r="F443">
        <v>2840.92</v>
      </c>
      <c r="G443">
        <v>8.0500000000000007</v>
      </c>
      <c r="H443">
        <v>121.51</v>
      </c>
      <c r="I443">
        <v>0</v>
      </c>
    </row>
    <row r="444" spans="1:9">
      <c r="A444" t="s">
        <v>1432</v>
      </c>
      <c r="B444">
        <v>128.14400000000001</v>
      </c>
      <c r="C444">
        <v>33.084800000000001</v>
      </c>
      <c r="D444">
        <v>37.533499999999997</v>
      </c>
      <c r="E444">
        <v>37.084000000000003</v>
      </c>
      <c r="F444">
        <v>2822.09</v>
      </c>
      <c r="G444">
        <v>7.19</v>
      </c>
      <c r="H444">
        <v>119.17</v>
      </c>
      <c r="I444">
        <v>0</v>
      </c>
    </row>
    <row r="445" spans="1:9">
      <c r="A445" t="s">
        <v>1433</v>
      </c>
      <c r="B445">
        <v>681.67200000000003</v>
      </c>
      <c r="C445">
        <v>48.878900000000002</v>
      </c>
      <c r="D445">
        <v>51.540100000000002</v>
      </c>
      <c r="E445">
        <v>52.590899999999998</v>
      </c>
      <c r="F445">
        <v>6358.75</v>
      </c>
      <c r="G445">
        <v>15.18</v>
      </c>
      <c r="H445">
        <v>120.93</v>
      </c>
      <c r="I445">
        <v>0</v>
      </c>
    </row>
    <row r="446" spans="1:9">
      <c r="A446" t="s">
        <v>1434</v>
      </c>
      <c r="B446">
        <v>394.4973</v>
      </c>
      <c r="C446">
        <v>44.8324</v>
      </c>
      <c r="D446">
        <v>48.082299999999996</v>
      </c>
      <c r="E446">
        <v>49.315199999999997</v>
      </c>
      <c r="F446">
        <v>5984.19</v>
      </c>
      <c r="G446">
        <v>13.34</v>
      </c>
      <c r="H446">
        <v>119.29</v>
      </c>
      <c r="I446">
        <v>0</v>
      </c>
    </row>
    <row r="447" spans="1:9">
      <c r="A447" t="s">
        <v>1435</v>
      </c>
      <c r="B447">
        <v>238.83420000000001</v>
      </c>
      <c r="C447">
        <v>40.968000000000004</v>
      </c>
      <c r="D447">
        <v>45.487099999999998</v>
      </c>
      <c r="E447">
        <v>46.906199999999998</v>
      </c>
      <c r="F447">
        <v>5613.98</v>
      </c>
      <c r="G447">
        <v>15.16</v>
      </c>
      <c r="H447">
        <v>121.97</v>
      </c>
      <c r="I447">
        <v>0</v>
      </c>
    </row>
    <row r="448" spans="1:9">
      <c r="A448" t="s">
        <v>1436</v>
      </c>
      <c r="B448">
        <v>149.5181</v>
      </c>
      <c r="C448">
        <v>36.981299999999997</v>
      </c>
      <c r="D448">
        <v>43.609000000000002</v>
      </c>
      <c r="E448">
        <v>45.051499999999997</v>
      </c>
      <c r="F448">
        <v>5511.42</v>
      </c>
      <c r="G448">
        <v>15.89</v>
      </c>
      <c r="H448">
        <v>120.46</v>
      </c>
      <c r="I448"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Plot</vt:lpstr>
      <vt:lpstr>RA-10</vt:lpstr>
      <vt:lpstr>Ref</vt:lpstr>
      <vt:lpstr>Test</vt:lpstr>
      <vt:lpstr>Ref-2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Chenxu (Anderson, Hisilicon)</cp:lastModifiedBy>
  <dcterms:created xsi:type="dcterms:W3CDTF">2011-06-30T00:09:01Z</dcterms:created>
  <dcterms:modified xsi:type="dcterms:W3CDTF">2016-12-24T06:50:34Z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</Properties>
</file>